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B\TESIS\PENELITIAN\CODE\output\"/>
    </mc:Choice>
  </mc:AlternateContent>
  <xr:revisionPtr revIDLastSave="0" documentId="13_ncr:1_{89FBD7DE-6D0E-4AEB-BE90-85F4F6BAE415}" xr6:coauthVersionLast="38" xr6:coauthVersionMax="38" xr10:uidLastSave="{00000000-0000-0000-0000-000000000000}"/>
  <bookViews>
    <workbookView xWindow="0" yWindow="0" windowWidth="28800" windowHeight="12225" xr2:uid="{775CFF51-0C88-4827-8E2F-4B29B2EF125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G29" i="1"/>
  <c r="H28" i="1"/>
  <c r="G28" i="1"/>
  <c r="H27" i="1"/>
  <c r="G27" i="1"/>
  <c r="H26" i="1"/>
  <c r="G26" i="1"/>
  <c r="H25" i="1"/>
  <c r="H30" i="1" s="1"/>
  <c r="G25" i="1"/>
  <c r="G30" i="1" s="1"/>
  <c r="H16" i="1" l="1"/>
  <c r="G16" i="1"/>
  <c r="H15" i="1"/>
  <c r="G15" i="1"/>
  <c r="H14" i="1"/>
  <c r="G14" i="1"/>
  <c r="H13" i="1"/>
  <c r="G13" i="1"/>
  <c r="H12" i="1"/>
  <c r="H17" i="1" s="1"/>
  <c r="G12" i="1"/>
  <c r="G17" i="1" l="1"/>
  <c r="H4" i="1"/>
  <c r="H5" i="1"/>
  <c r="H6" i="1"/>
  <c r="H7" i="1"/>
  <c r="H3" i="1"/>
  <c r="H8" i="1" s="1"/>
  <c r="G4" i="1"/>
  <c r="G5" i="1"/>
  <c r="G6" i="1"/>
  <c r="G7" i="1"/>
  <c r="G3" i="1"/>
  <c r="G8" i="1" s="1"/>
</calcChain>
</file>

<file path=xl/sharedStrings.xml><?xml version="1.0" encoding="utf-8"?>
<sst xmlns="http://schemas.openxmlformats.org/spreadsheetml/2006/main" count="26" uniqueCount="18">
  <si>
    <t>Jarak</t>
  </si>
  <si>
    <t>Before</t>
  </si>
  <si>
    <t>std</t>
  </si>
  <si>
    <t>after</t>
  </si>
  <si>
    <t>%jarak</t>
  </si>
  <si>
    <t>%std</t>
  </si>
  <si>
    <t>Rata-rata</t>
  </si>
  <si>
    <t>Jarak tempuh (Km)</t>
  </si>
  <si>
    <t>Standar deviasi jumlah paket diterima kurir</t>
  </si>
  <si>
    <t>K-MEANS</t>
  </si>
  <si>
    <t>VORONOI</t>
  </si>
  <si>
    <t>algoritma</t>
  </si>
  <si>
    <t xml:space="preserve">penerapan </t>
  </si>
  <si>
    <t>Selisih standar deviasi (%)</t>
  </si>
  <si>
    <t>Selisih jarak tempuh (%)</t>
  </si>
  <si>
    <t xml:space="preserve">Sesudah </t>
  </si>
  <si>
    <t>Sebelum penerapan algoritma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</si>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</sst>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2" fillId="0" borderId="1" xfId="0" applyNumberFormat="1" applyFont="1" applyBorder="1" applyAlignment="1">
      <alignment horizontal="justify" vertical="center" wrapText="1"/>
    </xf>
    <xf numFmtId="4" fontId="2" fillId="0" borderId="2" xfId="0" applyNumberFormat="1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14" fontId="2" fillId="0" borderId="3" xfId="0" applyNumberFormat="1" applyFont="1" applyBorder="1" applyAlignment="1">
      <alignment horizontal="justify" vertical="center" wrapText="1"/>
    </xf>
    <xf numFmtId="4" fontId="2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3" fontId="2" fillId="0" borderId="4" xfId="0" applyNumberFormat="1" applyFont="1" applyBorder="1" applyAlignment="1">
      <alignment horizontal="justify" vertical="center" wrapText="1"/>
    </xf>
    <xf numFmtId="10" fontId="0" fillId="0" borderId="2" xfId="1" applyNumberFormat="1" applyFont="1" applyBorder="1" applyAlignment="1">
      <alignment horizontal="justify" vertical="center" wrapText="1"/>
    </xf>
    <xf numFmtId="10" fontId="0" fillId="0" borderId="0" xfId="1" applyNumberFormat="1" applyFont="1"/>
    <xf numFmtId="10" fontId="0" fillId="0" borderId="5" xfId="1" applyNumberFormat="1" applyFont="1" applyFill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4" fontId="2" fillId="0" borderId="7" xfId="0" applyNumberFormat="1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14" fontId="2" fillId="0" borderId="7" xfId="0" applyNumberFormat="1" applyFont="1" applyBorder="1" applyAlignment="1">
      <alignment horizontal="justify" vertical="center" wrapText="1"/>
    </xf>
    <xf numFmtId="3" fontId="2" fillId="0" borderId="0" xfId="0" applyNumberFormat="1" applyFont="1" applyAlignment="1">
      <alignment horizontal="justify" vertical="center" wrapText="1"/>
    </xf>
    <xf numFmtId="14" fontId="2" fillId="0" borderId="0" xfId="0" applyNumberFormat="1" applyFont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EE7D-889F-4DC3-AD5B-0FE70F47C8AE}">
  <dimension ref="B1:H30"/>
  <sheetViews>
    <sheetView tabSelected="1" topLeftCell="A16" workbookViewId="0">
      <selection activeCell="M24" sqref="M24"/>
    </sheetView>
  </sheetViews>
  <sheetFormatPr defaultRowHeight="15" x14ac:dyDescent="0.25"/>
  <cols>
    <col min="2" max="2" width="11.28515625" bestFit="1" customWidth="1"/>
    <col min="7" max="7" width="11.5703125" bestFit="1" customWidth="1"/>
  </cols>
  <sheetData>
    <row r="1" spans="2:8" x14ac:dyDescent="0.25">
      <c r="C1" t="s">
        <v>1</v>
      </c>
      <c r="E1" t="s">
        <v>3</v>
      </c>
    </row>
    <row r="2" spans="2:8" ht="15.75" thickBot="1" x14ac:dyDescent="0.3">
      <c r="B2" t="s">
        <v>9</v>
      </c>
      <c r="C2" t="s">
        <v>0</v>
      </c>
      <c r="D2" t="s">
        <v>2</v>
      </c>
      <c r="E2" t="s">
        <v>0</v>
      </c>
      <c r="F2" t="s">
        <v>2</v>
      </c>
      <c r="G2" t="s">
        <v>4</v>
      </c>
      <c r="H2" t="s">
        <v>5</v>
      </c>
    </row>
    <row r="3" spans="2:8" ht="16.5" thickBot="1" x14ac:dyDescent="0.3">
      <c r="B3" s="1">
        <v>45866</v>
      </c>
      <c r="C3" s="2">
        <v>1865.53</v>
      </c>
      <c r="D3" s="3">
        <v>27.32</v>
      </c>
      <c r="E3" s="2">
        <v>1178.3800000000001</v>
      </c>
      <c r="F3" s="3">
        <v>32.409999999999997</v>
      </c>
      <c r="G3" s="8">
        <f>(E3-C3)/C3</f>
        <v>-0.36834036440046519</v>
      </c>
      <c r="H3" s="9">
        <f>(F3-D3)/D3</f>
        <v>0.18631039531478757</v>
      </c>
    </row>
    <row r="4" spans="2:8" ht="16.5" thickBot="1" x14ac:dyDescent="0.3">
      <c r="B4" s="4">
        <v>45867</v>
      </c>
      <c r="C4" s="5">
        <v>1656.21</v>
      </c>
      <c r="D4" s="6">
        <v>20.53</v>
      </c>
      <c r="E4" s="5">
        <v>1036.4000000000001</v>
      </c>
      <c r="F4" s="6">
        <v>25.19</v>
      </c>
      <c r="G4" s="8">
        <f t="shared" ref="G4:G7" si="0">(E4-C4)/C4</f>
        <v>-0.3742339437631701</v>
      </c>
      <c r="H4" s="9">
        <f t="shared" ref="H4:H7" si="1">(F4-D4)/D4</f>
        <v>0.2269849001461276</v>
      </c>
    </row>
    <row r="5" spans="2:8" ht="16.5" thickBot="1" x14ac:dyDescent="0.3">
      <c r="B5" s="4">
        <v>45875</v>
      </c>
      <c r="C5" s="5">
        <v>1540.26</v>
      </c>
      <c r="D5" s="6">
        <v>18.91</v>
      </c>
      <c r="E5" s="5">
        <v>1001.26</v>
      </c>
      <c r="F5" s="6">
        <v>26.29</v>
      </c>
      <c r="G5" s="8">
        <f t="shared" si="0"/>
        <v>-0.34994091906561231</v>
      </c>
      <c r="H5" s="9">
        <f t="shared" si="1"/>
        <v>0.39026969857218397</v>
      </c>
    </row>
    <row r="6" spans="2:8" ht="16.5" thickBot="1" x14ac:dyDescent="0.3">
      <c r="B6" s="4">
        <v>45876</v>
      </c>
      <c r="C6" s="7">
        <v>2121</v>
      </c>
      <c r="D6" s="6">
        <v>24.88</v>
      </c>
      <c r="E6" s="5">
        <v>1268.1500000000001</v>
      </c>
      <c r="F6" s="6">
        <v>34.479999999999997</v>
      </c>
      <c r="G6" s="8">
        <f t="shared" si="0"/>
        <v>-0.40209806694955208</v>
      </c>
      <c r="H6" s="9">
        <f t="shared" si="1"/>
        <v>0.38585209003215426</v>
      </c>
    </row>
    <row r="7" spans="2:8" ht="16.5" thickBot="1" x14ac:dyDescent="0.3">
      <c r="B7" s="4">
        <v>45889</v>
      </c>
      <c r="C7" s="5">
        <v>1721.48</v>
      </c>
      <c r="D7" s="6">
        <v>17.18</v>
      </c>
      <c r="E7" s="5">
        <v>1063.0999999999999</v>
      </c>
      <c r="F7" s="6">
        <v>22.49</v>
      </c>
      <c r="G7" s="8">
        <f t="shared" si="0"/>
        <v>-0.38244998489671683</v>
      </c>
      <c r="H7" s="9">
        <f t="shared" si="1"/>
        <v>0.30908032596041901</v>
      </c>
    </row>
    <row r="8" spans="2:8" x14ac:dyDescent="0.25">
      <c r="B8" t="s">
        <v>6</v>
      </c>
      <c r="G8" s="10">
        <f>AVERAGE(G3:G7)</f>
        <v>-0.3754126558151033</v>
      </c>
      <c r="H8" s="10">
        <f>AVERAGE(H3:H7)</f>
        <v>0.29969948200513452</v>
      </c>
    </row>
    <row r="10" spans="2:8" ht="15.75" thickBot="1" x14ac:dyDescent="0.3"/>
    <row r="11" spans="2:8" ht="90.75" thickBot="1" x14ac:dyDescent="0.3">
      <c r="B11" t="s">
        <v>10</v>
      </c>
      <c r="C11" s="11" t="s">
        <v>7</v>
      </c>
      <c r="D11" s="11" t="s">
        <v>8</v>
      </c>
      <c r="E11" s="11" t="s">
        <v>7</v>
      </c>
      <c r="F11" s="11" t="s">
        <v>8</v>
      </c>
    </row>
    <row r="12" spans="2:8" ht="16.5" thickBot="1" x14ac:dyDescent="0.3">
      <c r="B12" s="1">
        <v>45866</v>
      </c>
      <c r="C12" s="12">
        <v>1178.3800000000001</v>
      </c>
      <c r="D12" s="13">
        <v>32.409999999999997</v>
      </c>
      <c r="E12" s="12">
        <v>1177.06</v>
      </c>
      <c r="F12" s="13">
        <v>32.42</v>
      </c>
      <c r="G12" s="8">
        <f>(E12-C12)/C12</f>
        <v>-1.1201819447038846E-3</v>
      </c>
      <c r="H12" s="9">
        <f>(F12-D12)/D12</f>
        <v>3.0854674483199988E-4</v>
      </c>
    </row>
    <row r="13" spans="2:8" ht="16.5" thickBot="1" x14ac:dyDescent="0.3">
      <c r="B13" s="4">
        <v>45867</v>
      </c>
      <c r="C13" s="12">
        <v>1036.4000000000001</v>
      </c>
      <c r="D13" s="13">
        <v>25.19</v>
      </c>
      <c r="E13" s="12">
        <v>1035.25</v>
      </c>
      <c r="F13" s="13">
        <v>25.19</v>
      </c>
      <c r="G13" s="8">
        <f t="shared" ref="G13:G16" si="2">(E13-C13)/C13</f>
        <v>-1.1096101891162589E-3</v>
      </c>
      <c r="H13" s="9">
        <f t="shared" ref="H13:H16" si="3">(F13-D13)/D13</f>
        <v>0</v>
      </c>
    </row>
    <row r="14" spans="2:8" ht="16.5" thickBot="1" x14ac:dyDescent="0.3">
      <c r="B14" s="4">
        <v>45875</v>
      </c>
      <c r="C14" s="12">
        <v>1001.26</v>
      </c>
      <c r="D14" s="13">
        <v>26.29</v>
      </c>
      <c r="E14" s="12">
        <v>1000.14</v>
      </c>
      <c r="F14" s="13">
        <v>26.29</v>
      </c>
      <c r="G14" s="8">
        <f t="shared" si="2"/>
        <v>-1.1185905758744029E-3</v>
      </c>
      <c r="H14" s="9">
        <f t="shared" si="3"/>
        <v>0</v>
      </c>
    </row>
    <row r="15" spans="2:8" ht="16.5" thickBot="1" x14ac:dyDescent="0.3">
      <c r="B15" s="4">
        <v>45876</v>
      </c>
      <c r="C15" s="12">
        <v>1268.1500000000001</v>
      </c>
      <c r="D15" s="13">
        <v>34.479999999999997</v>
      </c>
      <c r="E15" s="12">
        <v>1266.73</v>
      </c>
      <c r="F15" s="13">
        <v>34.479999999999997</v>
      </c>
      <c r="G15" s="8">
        <f t="shared" si="2"/>
        <v>-1.1197413555179376E-3</v>
      </c>
      <c r="H15" s="9">
        <f t="shared" si="3"/>
        <v>0</v>
      </c>
    </row>
    <row r="16" spans="2:8" ht="16.5" thickBot="1" x14ac:dyDescent="0.3">
      <c r="B16" s="4">
        <v>45889</v>
      </c>
      <c r="C16" s="14">
        <v>1063.0999999999999</v>
      </c>
      <c r="D16" s="15">
        <v>22.49</v>
      </c>
      <c r="E16" s="15">
        <v>1061.9100000000001</v>
      </c>
      <c r="F16" s="15">
        <v>22.49</v>
      </c>
      <c r="G16" s="8">
        <f t="shared" si="2"/>
        <v>-1.1193678863698874E-3</v>
      </c>
      <c r="H16" s="9">
        <f t="shared" si="3"/>
        <v>0</v>
      </c>
    </row>
    <row r="17" spans="2:8" x14ac:dyDescent="0.25">
      <c r="G17" s="10">
        <f>AVERAGE(G12:G16)</f>
        <v>-1.1174983903164744E-3</v>
      </c>
      <c r="H17" s="10">
        <f>AVERAGE(H12:H16)</f>
        <v>6.1709348966399981E-5</v>
      </c>
    </row>
    <row r="20" spans="2:8" ht="15.75" thickBot="1" x14ac:dyDescent="0.3"/>
    <row r="21" spans="2:8" ht="15.75" x14ac:dyDescent="0.25">
      <c r="B21" s="24" t="s">
        <v>17</v>
      </c>
      <c r="C21" s="24" t="s">
        <v>16</v>
      </c>
      <c r="D21" s="24"/>
      <c r="E21" s="24" t="s">
        <v>15</v>
      </c>
      <c r="F21" s="24"/>
      <c r="G21" s="24" t="s">
        <v>14</v>
      </c>
      <c r="H21" s="24" t="s">
        <v>13</v>
      </c>
    </row>
    <row r="22" spans="2:8" ht="15.75" x14ac:dyDescent="0.25">
      <c r="B22" s="22"/>
      <c r="C22" s="22"/>
      <c r="D22" s="22"/>
      <c r="E22" s="23" t="s">
        <v>12</v>
      </c>
      <c r="F22" s="23"/>
      <c r="G22" s="22"/>
      <c r="H22" s="22"/>
    </row>
    <row r="23" spans="2:8" ht="16.5" thickBot="1" x14ac:dyDescent="0.3">
      <c r="B23" s="22"/>
      <c r="C23" s="19"/>
      <c r="D23" s="19"/>
      <c r="E23" s="19" t="s">
        <v>11</v>
      </c>
      <c r="F23" s="19"/>
      <c r="G23" s="22"/>
      <c r="H23" s="22"/>
    </row>
    <row r="24" spans="2:8" ht="95.25" thickBot="1" x14ac:dyDescent="0.3">
      <c r="B24" s="19"/>
      <c r="C24" s="20" t="s">
        <v>7</v>
      </c>
      <c r="D24" s="21" t="s">
        <v>8</v>
      </c>
      <c r="E24" s="20" t="s">
        <v>7</v>
      </c>
      <c r="F24" s="20" t="s">
        <v>8</v>
      </c>
      <c r="G24" s="19"/>
      <c r="H24" s="19"/>
    </row>
    <row r="25" spans="2:8" ht="16.5" thickBot="1" x14ac:dyDescent="0.3">
      <c r="B25" s="18">
        <v>45866</v>
      </c>
      <c r="C25" s="12">
        <v>1865.53</v>
      </c>
      <c r="D25" s="13">
        <v>27.32</v>
      </c>
      <c r="E25" s="12">
        <v>1797.77</v>
      </c>
      <c r="F25" s="13">
        <v>0.16</v>
      </c>
      <c r="G25" s="8">
        <f>(E25-C25)/C25</f>
        <v>-3.6322117575166304E-2</v>
      </c>
      <c r="H25" s="9">
        <f>(F25-D25)/D25</f>
        <v>-0.99414348462664714</v>
      </c>
    </row>
    <row r="26" spans="2:8" ht="16.5" thickBot="1" x14ac:dyDescent="0.3">
      <c r="B26" s="18">
        <v>45867</v>
      </c>
      <c r="C26" s="12">
        <v>1656.21</v>
      </c>
      <c r="D26" s="13">
        <v>20.53</v>
      </c>
      <c r="E26" s="12">
        <v>1372.74</v>
      </c>
      <c r="F26" s="13">
        <v>1.96</v>
      </c>
      <c r="G26" s="8">
        <f t="shared" ref="G26:G29" si="4">(E26-C26)/C26</f>
        <v>-0.1711558316880106</v>
      </c>
      <c r="H26" s="9">
        <f t="shared" ref="H26:H29" si="5">(F26-D26)/D26</f>
        <v>-0.9045299561617145</v>
      </c>
    </row>
    <row r="27" spans="2:8" ht="16.5" thickBot="1" x14ac:dyDescent="0.3">
      <c r="B27" s="18">
        <v>45875</v>
      </c>
      <c r="C27" s="12">
        <v>1540.26</v>
      </c>
      <c r="D27" s="13">
        <v>18.91</v>
      </c>
      <c r="E27" s="12">
        <v>1399.02</v>
      </c>
      <c r="F27" s="13">
        <v>0.51</v>
      </c>
      <c r="G27" s="8">
        <f t="shared" si="4"/>
        <v>-9.1698804098009429E-2</v>
      </c>
      <c r="H27" s="9">
        <f t="shared" si="5"/>
        <v>-0.97303014278159694</v>
      </c>
    </row>
    <row r="28" spans="2:8" ht="16.5" thickBot="1" x14ac:dyDescent="0.3">
      <c r="B28" s="18">
        <v>45876</v>
      </c>
      <c r="C28" s="17">
        <v>2121</v>
      </c>
      <c r="D28" s="13">
        <v>24.88</v>
      </c>
      <c r="E28" s="12">
        <v>1834.42</v>
      </c>
      <c r="F28" s="13">
        <v>0.46</v>
      </c>
      <c r="G28" s="8">
        <f t="shared" si="4"/>
        <v>-0.13511551155115509</v>
      </c>
      <c r="H28" s="9">
        <f t="shared" si="5"/>
        <v>-0.98151125401929262</v>
      </c>
    </row>
    <row r="29" spans="2:8" ht="16.5" thickBot="1" x14ac:dyDescent="0.3">
      <c r="B29" s="16">
        <v>45889</v>
      </c>
      <c r="C29" s="14">
        <v>1721.48</v>
      </c>
      <c r="D29" s="15">
        <v>17.18</v>
      </c>
      <c r="E29" s="14">
        <v>1331.44</v>
      </c>
      <c r="F29" s="15">
        <v>1.29</v>
      </c>
      <c r="G29" s="8">
        <f t="shared" si="4"/>
        <v>-0.22657248414155259</v>
      </c>
      <c r="H29" s="9">
        <f t="shared" si="5"/>
        <v>-0.92491268917345759</v>
      </c>
    </row>
    <row r="30" spans="2:8" x14ac:dyDescent="0.25">
      <c r="G30" s="10">
        <f>AVERAGE(G25:G29)</f>
        <v>-0.13217294981077882</v>
      </c>
      <c r="H30" s="10">
        <f>AVERAGE(H25:H29)</f>
        <v>-0.95562550535254176</v>
      </c>
    </row>
  </sheetData>
  <mergeCells count="7">
    <mergeCell ref="H21:H24"/>
    <mergeCell ref="B21:B24"/>
    <mergeCell ref="C21:D23"/>
    <mergeCell ref="E21:F21"/>
    <mergeCell ref="E22:F22"/>
    <mergeCell ref="E23:F23"/>
    <mergeCell ref="G21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2026-01-24T14:18:14Z</dcterms:created>
  <dcterms:modified xsi:type="dcterms:W3CDTF">2026-02-16T14:54:35Z</dcterms:modified>
</cp:coreProperties>
</file>