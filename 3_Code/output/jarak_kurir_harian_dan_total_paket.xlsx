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B\TESIS\PENELITIAN\CODE\output\"/>
    </mc:Choice>
  </mc:AlternateContent>
  <xr:revisionPtr revIDLastSave="0" documentId="13_ncr:1_{00E4CEE3-3046-4951-AA4F-A915F822AEEB}" xr6:coauthVersionLast="38" xr6:coauthVersionMax="38" xr10:uidLastSave="{00000000-0000-0000-0000-000000000000}"/>
  <bookViews>
    <workbookView xWindow="240" yWindow="15" windowWidth="16095" windowHeight="9660" activeTab="1" xr2:uid="{00000000-000D-0000-FFFF-FFFF00000000}"/>
  </bookViews>
  <sheets>
    <sheet name="Sheet4" sheetId="7" r:id="rId1"/>
    <sheet name="Pivot Tanggal Paket" sheetId="6" r:id="rId2"/>
    <sheet name="jarak_kurir_harian" sheetId="1" r:id="rId3"/>
    <sheet name="Pivot NIK" sheetId="2" r:id="rId4"/>
    <sheet name="Pivot Tanggal Jarak" sheetId="4" r:id="rId5"/>
  </sheets>
  <definedNames>
    <definedName name="_xlnm._FilterDatabase" localSheetId="2" hidden="1">jarak_kurir_harian!$A$1:$D$648</definedName>
  </definedNames>
  <calcPr calcId="179021"/>
  <pivotCaches>
    <pivotCache cacheId="5" r:id="rId6"/>
  </pivotCaches>
</workbook>
</file>

<file path=xl/calcChain.xml><?xml version="1.0" encoding="utf-8"?>
<calcChain xmlns="http://schemas.openxmlformats.org/spreadsheetml/2006/main">
  <c r="G2" i="6" l="1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31" i="6"/>
  <c r="R71" i="6"/>
  <c r="R70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31" i="6"/>
  <c r="N71" i="6"/>
  <c r="N70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31" i="6"/>
  <c r="J72" i="6"/>
  <c r="J7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31" i="6"/>
  <c r="F69" i="6"/>
  <c r="F68" i="6"/>
  <c r="B70" i="6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31" i="4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31" i="6"/>
  <c r="B69" i="6"/>
  <c r="B68" i="6"/>
  <c r="R71" i="4"/>
  <c r="N71" i="4"/>
  <c r="J72" i="4"/>
  <c r="F69" i="4"/>
  <c r="B69" i="4"/>
  <c r="R70" i="4"/>
  <c r="N70" i="4"/>
  <c r="J71" i="4"/>
  <c r="F68" i="4"/>
  <c r="B68" i="4"/>
  <c r="R72" i="4"/>
  <c r="N72" i="4"/>
  <c r="J73" i="4"/>
  <c r="F70" i="4"/>
  <c r="B70" i="4"/>
  <c r="R72" i="6" l="1"/>
  <c r="N72" i="6"/>
  <c r="J73" i="6"/>
  <c r="F70" i="6"/>
  <c r="G2" i="4"/>
  <c r="G4" i="2"/>
</calcChain>
</file>

<file path=xl/sharedStrings.xml><?xml version="1.0" encoding="utf-8"?>
<sst xmlns="http://schemas.openxmlformats.org/spreadsheetml/2006/main" count="780" uniqueCount="42">
  <si>
    <t>205_id</t>
  </si>
  <si>
    <t>205_dt</t>
  </si>
  <si>
    <t>total_awb_harian</t>
  </si>
  <si>
    <t>total_distance_km</t>
  </si>
  <si>
    <t>2025-07-24 00:00:00.0</t>
  </si>
  <si>
    <t>2025-07-25 00:00:00.0</t>
  </si>
  <si>
    <t>2025-07-26 00:00:00.0</t>
  </si>
  <si>
    <t>2025-07-28 00:00:00.0</t>
  </si>
  <si>
    <t>2025-07-29 00:00:00.0</t>
  </si>
  <si>
    <t>2025-07-30 00:00:00.0</t>
  </si>
  <si>
    <t>2025-07-31 00:00:00.0</t>
  </si>
  <si>
    <t>2025-08-04 00:00:00.0</t>
  </si>
  <si>
    <t>2025-08-05 00:00:00.0</t>
  </si>
  <si>
    <t>2025-08-06 00:00:00.0</t>
  </si>
  <si>
    <t>2025-08-07 00:00:00.0</t>
  </si>
  <si>
    <t>2025-08-08 00:00:00.0</t>
  </si>
  <si>
    <t>2025-08-09 00:00:00.0</t>
  </si>
  <si>
    <t>2025-08-16 00:00:00.0</t>
  </si>
  <si>
    <t>2025-08-18 00:00:00.0</t>
  </si>
  <si>
    <t>2025-08-19 00:00:00.0</t>
  </si>
  <si>
    <t>2025-08-20 00:00:00.0</t>
  </si>
  <si>
    <t>2025-08-14 00:00:00.0</t>
  </si>
  <si>
    <t>2025-08-02 00:00:00.0</t>
  </si>
  <si>
    <t>2025-08-15 00:00:00.0</t>
  </si>
  <si>
    <t>2025-08-10 00:00:00.0</t>
  </si>
  <si>
    <t>2025-07-23 00:00:00.0</t>
  </si>
  <si>
    <t>2025-08-01 00:00:00.0</t>
  </si>
  <si>
    <t>Row Labels</t>
  </si>
  <si>
    <t>Grand Total</t>
  </si>
  <si>
    <t>Sum of total_awb_harian</t>
  </si>
  <si>
    <t>Sum of total_distance_km</t>
  </si>
  <si>
    <t>Count of 205_dt</t>
  </si>
  <si>
    <t>Rata-Rata Jarak Tempuh</t>
  </si>
  <si>
    <t>Count of 205_id</t>
  </si>
  <si>
    <t>Average of total_distance_km</t>
  </si>
  <si>
    <t>AVG Jarak</t>
  </si>
  <si>
    <t>MAD</t>
  </si>
  <si>
    <t>Kurir</t>
  </si>
  <si>
    <t>Deviasi</t>
  </si>
  <si>
    <t>STD</t>
  </si>
  <si>
    <t>MAD Jarak Tempuh</t>
  </si>
  <si>
    <t>AVG 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</si>
</sst>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16" fontId="2" fillId="0" borderId="0" xfId="0" applyNumberFormat="1" applyFont="1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6.642247337964" createdVersion="6" refreshedVersion="6" minRefreshableVersion="3" recordCount="647" xr:uid="{89BC96B2-1B04-4878-8CD0-06A6365E501A}">
  <cacheSource type="worksheet">
    <worksheetSource ref="A1:D648" sheet="jarak_kurir_harian"/>
  </cacheSource>
  <cacheFields count="4">
    <cacheField name="205_id" numFmtId="0">
      <sharedItems containsSemiMixedTypes="0" containsString="0" containsNumber="1" containsInteger="1" minValue="10001245" maxValue="10080747" count="41">
        <n v="10001245"/>
        <n v="10003936"/>
        <n v="10006503"/>
        <n v="10009662"/>
        <n v="10011641"/>
        <n v="10014010"/>
        <n v="10014255"/>
        <n v="10014704"/>
        <n v="10024737"/>
        <n v="10024880"/>
        <n v="10025537"/>
        <n v="10025538"/>
        <n v="10029570"/>
        <n v="10031843"/>
        <n v="10031844"/>
        <n v="10031845"/>
        <n v="10035125"/>
        <n v="10038027"/>
        <n v="10046352"/>
        <n v="10046795"/>
        <n v="10047909"/>
        <n v="10052254"/>
        <n v="10053112"/>
        <n v="10055658"/>
        <n v="10062125"/>
        <n v="10064690"/>
        <n v="10068449"/>
        <n v="10072594"/>
        <n v="10072947"/>
        <n v="10073494"/>
        <n v="10073889"/>
        <n v="10074145"/>
        <n v="10076349"/>
        <n v="10078132"/>
        <n v="10079995"/>
        <n v="10080481"/>
        <n v="10080492"/>
        <n v="10080526"/>
        <n v="10080596"/>
        <n v="10080624"/>
        <n v="10080747"/>
      </sharedItems>
    </cacheField>
    <cacheField name="205_dt" numFmtId="0">
      <sharedItems count="23">
        <s v="2025-07-24 00:00:00.0"/>
        <s v="2025-07-25 00:00:00.0"/>
        <s v="2025-07-26 00:00:00.0"/>
        <s v="2025-07-28 00:00:00.0"/>
        <s v="2025-07-29 00:00:00.0"/>
        <s v="2025-07-30 00:00:00.0"/>
        <s v="2025-07-31 00:00:00.0"/>
        <s v="2025-08-04 00:00:00.0"/>
        <s v="2025-08-05 00:00:00.0"/>
        <s v="2025-08-06 00:00:00.0"/>
        <s v="2025-08-07 00:00:00.0"/>
        <s v="2025-08-08 00:00:00.0"/>
        <s v="2025-08-09 00:00:00.0"/>
        <s v="2025-08-16 00:00:00.0"/>
        <s v="2025-08-18 00:00:00.0"/>
        <s v="2025-08-19 00:00:00.0"/>
        <s v="2025-08-20 00:00:00.0"/>
        <s v="2025-08-14 00:00:00.0"/>
        <s v="2025-08-02 00:00:00.0"/>
        <s v="2025-08-15 00:00:00.0"/>
        <s v="2025-08-10 00:00:00.0"/>
        <s v="2025-07-23 00:00:00.0"/>
        <s v="2025-08-01 00:00:00.0"/>
      </sharedItems>
    </cacheField>
    <cacheField name="total_awb_harian" numFmtId="0">
      <sharedItems containsSemiMixedTypes="0" containsString="0" containsNumber="1" containsInteger="1" minValue="1" maxValue="159"/>
    </cacheField>
    <cacheField name="total_distance_km" numFmtId="0">
      <sharedItems containsSemiMixedTypes="0" containsString="0" containsNumber="1" minValue="0.43429804578488568" maxValue="161.328181835712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x v="0"/>
    <n v="5"/>
    <n v="4.6403518701889723"/>
  </r>
  <r>
    <x v="0"/>
    <x v="1"/>
    <n v="38"/>
    <n v="28.283452706030531"/>
  </r>
  <r>
    <x v="0"/>
    <x v="2"/>
    <n v="104"/>
    <n v="57.951113663730411"/>
  </r>
  <r>
    <x v="0"/>
    <x v="3"/>
    <n v="100"/>
    <n v="67.949704105988062"/>
  </r>
  <r>
    <x v="0"/>
    <x v="4"/>
    <n v="80"/>
    <n v="37.432457027880858"/>
  </r>
  <r>
    <x v="0"/>
    <x v="5"/>
    <n v="56"/>
    <n v="27.685082447546591"/>
  </r>
  <r>
    <x v="0"/>
    <x v="6"/>
    <n v="20"/>
    <n v="9.8092867068984777"/>
  </r>
  <r>
    <x v="0"/>
    <x v="7"/>
    <n v="6"/>
    <n v="5.7333386767020409"/>
  </r>
  <r>
    <x v="0"/>
    <x v="8"/>
    <n v="51"/>
    <n v="26.437396662334152"/>
  </r>
  <r>
    <x v="0"/>
    <x v="9"/>
    <n v="71"/>
    <n v="31.518555038529222"/>
  </r>
  <r>
    <x v="0"/>
    <x v="10"/>
    <n v="88"/>
    <n v="47.337889181157742"/>
  </r>
  <r>
    <x v="0"/>
    <x v="11"/>
    <n v="30"/>
    <n v="18.838201292984841"/>
  </r>
  <r>
    <x v="0"/>
    <x v="12"/>
    <n v="10"/>
    <n v="7.457744654016623"/>
  </r>
  <r>
    <x v="0"/>
    <x v="13"/>
    <n v="3"/>
    <n v="3.323512211186185"/>
  </r>
  <r>
    <x v="0"/>
    <x v="14"/>
    <n v="71"/>
    <n v="34.649447274763013"/>
  </r>
  <r>
    <x v="0"/>
    <x v="15"/>
    <n v="46"/>
    <n v="24.073930482742728"/>
  </r>
  <r>
    <x v="0"/>
    <x v="16"/>
    <n v="84"/>
    <n v="34.479814157908798"/>
  </r>
  <r>
    <x v="1"/>
    <x v="0"/>
    <n v="6"/>
    <n v="4.4258322259810843"/>
  </r>
  <r>
    <x v="1"/>
    <x v="1"/>
    <n v="46"/>
    <n v="27.199599608188741"/>
  </r>
  <r>
    <x v="1"/>
    <x v="2"/>
    <n v="92"/>
    <n v="55.13920354286639"/>
  </r>
  <r>
    <x v="1"/>
    <x v="3"/>
    <n v="119"/>
    <n v="49.891531295963993"/>
  </r>
  <r>
    <x v="1"/>
    <x v="4"/>
    <n v="86"/>
    <n v="52.568307567947834"/>
  </r>
  <r>
    <x v="1"/>
    <x v="5"/>
    <n v="72"/>
    <n v="31.550346026443279"/>
  </r>
  <r>
    <x v="1"/>
    <x v="6"/>
    <n v="22"/>
    <n v="11.609905850965751"/>
  </r>
  <r>
    <x v="1"/>
    <x v="7"/>
    <n v="6"/>
    <n v="5.2950303043850564"/>
  </r>
  <r>
    <x v="1"/>
    <x v="8"/>
    <n v="59"/>
    <n v="30.265299124623851"/>
  </r>
  <r>
    <x v="1"/>
    <x v="9"/>
    <n v="100"/>
    <n v="41.07973683690718"/>
  </r>
  <r>
    <x v="1"/>
    <x v="10"/>
    <n v="122"/>
    <n v="68.774795601024906"/>
  </r>
  <r>
    <x v="1"/>
    <x v="11"/>
    <n v="45"/>
    <n v="22.71071399863969"/>
  </r>
  <r>
    <x v="1"/>
    <x v="12"/>
    <n v="9"/>
    <n v="6.4640050916473104"/>
  </r>
  <r>
    <x v="1"/>
    <x v="13"/>
    <n v="4"/>
    <n v="4.6993900083690452"/>
  </r>
  <r>
    <x v="1"/>
    <x v="14"/>
    <n v="95"/>
    <n v="42.784596527157561"/>
  </r>
  <r>
    <x v="1"/>
    <x v="15"/>
    <n v="74"/>
    <n v="37.076591592775188"/>
  </r>
  <r>
    <x v="1"/>
    <x v="16"/>
    <n v="101"/>
    <n v="57.236973884026753"/>
  </r>
  <r>
    <x v="2"/>
    <x v="0"/>
    <n v="3"/>
    <n v="5.2257734965153748"/>
  </r>
  <r>
    <x v="2"/>
    <x v="1"/>
    <n v="41"/>
    <n v="21.142520406718941"/>
  </r>
  <r>
    <x v="2"/>
    <x v="2"/>
    <n v="87"/>
    <n v="46.736891713066832"/>
  </r>
  <r>
    <x v="2"/>
    <x v="3"/>
    <n v="82"/>
    <n v="38.346146260469013"/>
  </r>
  <r>
    <x v="2"/>
    <x v="4"/>
    <n v="102"/>
    <n v="45.78334586746363"/>
  </r>
  <r>
    <x v="2"/>
    <x v="5"/>
    <n v="76"/>
    <n v="25.235726402289089"/>
  </r>
  <r>
    <x v="2"/>
    <x v="6"/>
    <n v="32"/>
    <n v="15.47532729826643"/>
  </r>
  <r>
    <x v="2"/>
    <x v="7"/>
    <n v="9"/>
    <n v="7.221282048661271"/>
  </r>
  <r>
    <x v="2"/>
    <x v="8"/>
    <n v="37"/>
    <n v="24.26085488421597"/>
  </r>
  <r>
    <x v="2"/>
    <x v="9"/>
    <n v="95"/>
    <n v="33.983399069124218"/>
  </r>
  <r>
    <x v="2"/>
    <x v="10"/>
    <n v="111"/>
    <n v="47.543383181283261"/>
  </r>
  <r>
    <x v="2"/>
    <x v="11"/>
    <n v="38"/>
    <n v="17.310105184941769"/>
  </r>
  <r>
    <x v="2"/>
    <x v="12"/>
    <n v="10"/>
    <n v="7.7725330019300944"/>
  </r>
  <r>
    <x v="2"/>
    <x v="13"/>
    <n v="3"/>
    <n v="4.009493814738728"/>
  </r>
  <r>
    <x v="2"/>
    <x v="14"/>
    <n v="74"/>
    <n v="34.096416601762712"/>
  </r>
  <r>
    <x v="2"/>
    <x v="15"/>
    <n v="92"/>
    <n v="41.245153490802792"/>
  </r>
  <r>
    <x v="2"/>
    <x v="16"/>
    <n v="83"/>
    <n v="38.534244830769133"/>
  </r>
  <r>
    <x v="3"/>
    <x v="0"/>
    <n v="2"/>
    <n v="2.0184237389562369"/>
  </r>
  <r>
    <x v="3"/>
    <x v="1"/>
    <n v="33"/>
    <n v="18.311112100177251"/>
  </r>
  <r>
    <x v="3"/>
    <x v="2"/>
    <n v="90"/>
    <n v="35.482180820783483"/>
  </r>
  <r>
    <x v="3"/>
    <x v="3"/>
    <n v="114"/>
    <n v="40.536307869471628"/>
  </r>
  <r>
    <x v="3"/>
    <x v="4"/>
    <n v="105"/>
    <n v="35.297528428997268"/>
  </r>
  <r>
    <x v="3"/>
    <x v="5"/>
    <n v="78"/>
    <n v="31.70059051073056"/>
  </r>
  <r>
    <x v="3"/>
    <x v="6"/>
    <n v="28"/>
    <n v="10.62987793091169"/>
  </r>
  <r>
    <x v="3"/>
    <x v="7"/>
    <n v="4"/>
    <n v="2.5056146735361988"/>
  </r>
  <r>
    <x v="3"/>
    <x v="9"/>
    <n v="75"/>
    <n v="30.77391842487485"/>
  </r>
  <r>
    <x v="3"/>
    <x v="10"/>
    <n v="82"/>
    <n v="26.54948623448567"/>
  </r>
  <r>
    <x v="3"/>
    <x v="11"/>
    <n v="35"/>
    <n v="13.039437510503181"/>
  </r>
  <r>
    <x v="3"/>
    <x v="12"/>
    <n v="4"/>
    <n v="1.734127206385379"/>
  </r>
  <r>
    <x v="3"/>
    <x v="17"/>
    <n v="1"/>
    <n v="0.43429804578488568"/>
  </r>
  <r>
    <x v="3"/>
    <x v="13"/>
    <n v="3"/>
    <n v="1.1861253470642279"/>
  </r>
  <r>
    <x v="3"/>
    <x v="14"/>
    <n v="94"/>
    <n v="29.780796716396761"/>
  </r>
  <r>
    <x v="3"/>
    <x v="15"/>
    <n v="100"/>
    <n v="36.306486114076129"/>
  </r>
  <r>
    <x v="3"/>
    <x v="16"/>
    <n v="134"/>
    <n v="47.235444642767888"/>
  </r>
  <r>
    <x v="4"/>
    <x v="0"/>
    <n v="1"/>
    <n v="2.0005282848807981"/>
  </r>
  <r>
    <x v="4"/>
    <x v="1"/>
    <n v="31"/>
    <n v="19.773849282973011"/>
  </r>
  <r>
    <x v="4"/>
    <x v="2"/>
    <n v="66"/>
    <n v="34.089770114668802"/>
  </r>
  <r>
    <x v="4"/>
    <x v="3"/>
    <n v="110"/>
    <n v="50.055675771382958"/>
  </r>
  <r>
    <x v="4"/>
    <x v="4"/>
    <n v="92"/>
    <n v="37.948472252952897"/>
  </r>
  <r>
    <x v="4"/>
    <x v="5"/>
    <n v="57"/>
    <n v="29.022718279691372"/>
  </r>
  <r>
    <x v="4"/>
    <x v="6"/>
    <n v="26"/>
    <n v="13.263305834463999"/>
  </r>
  <r>
    <x v="4"/>
    <x v="18"/>
    <n v="1"/>
    <n v="1.8567040506922621"/>
  </r>
  <r>
    <x v="4"/>
    <x v="7"/>
    <n v="3"/>
    <n v="4.0056205566467646"/>
  </r>
  <r>
    <x v="4"/>
    <x v="8"/>
    <n v="65"/>
    <n v="25.830321033165301"/>
  </r>
  <r>
    <x v="4"/>
    <x v="9"/>
    <n v="123"/>
    <n v="41.595331209499513"/>
  </r>
  <r>
    <x v="4"/>
    <x v="10"/>
    <n v="141"/>
    <n v="74.736096911784458"/>
  </r>
  <r>
    <x v="4"/>
    <x v="11"/>
    <n v="39"/>
    <n v="18.773453023378199"/>
  </r>
  <r>
    <x v="4"/>
    <x v="12"/>
    <n v="2"/>
    <n v="4.4926000960243666"/>
  </r>
  <r>
    <x v="4"/>
    <x v="13"/>
    <n v="5"/>
    <n v="5.0805372755894709"/>
  </r>
  <r>
    <x v="4"/>
    <x v="14"/>
    <n v="84"/>
    <n v="36.593534205977022"/>
  </r>
  <r>
    <x v="4"/>
    <x v="15"/>
    <n v="57"/>
    <n v="27.573992172060748"/>
  </r>
  <r>
    <x v="4"/>
    <x v="16"/>
    <n v="74"/>
    <n v="37.161174145237602"/>
  </r>
  <r>
    <x v="5"/>
    <x v="0"/>
    <n v="3"/>
    <n v="3.2433115061725641"/>
  </r>
  <r>
    <x v="5"/>
    <x v="1"/>
    <n v="41"/>
    <n v="35.766112756342601"/>
  </r>
  <r>
    <x v="5"/>
    <x v="2"/>
    <n v="109"/>
    <n v="70.900518340465467"/>
  </r>
  <r>
    <x v="5"/>
    <x v="3"/>
    <n v="103"/>
    <n v="85.193885257684229"/>
  </r>
  <r>
    <x v="5"/>
    <x v="4"/>
    <n v="100"/>
    <n v="70.407870491246612"/>
  </r>
  <r>
    <x v="5"/>
    <x v="5"/>
    <n v="49"/>
    <n v="39.660390910691461"/>
  </r>
  <r>
    <x v="5"/>
    <x v="6"/>
    <n v="27"/>
    <n v="20.23360650604193"/>
  </r>
  <r>
    <x v="5"/>
    <x v="7"/>
    <n v="8"/>
    <n v="8.605918134143602"/>
  </r>
  <r>
    <x v="5"/>
    <x v="8"/>
    <n v="52"/>
    <n v="27.96621657540145"/>
  </r>
  <r>
    <x v="5"/>
    <x v="9"/>
    <n v="87"/>
    <n v="44.004867674138787"/>
  </r>
  <r>
    <x v="5"/>
    <x v="10"/>
    <n v="85"/>
    <n v="48.826201875820878"/>
  </r>
  <r>
    <x v="5"/>
    <x v="11"/>
    <n v="44"/>
    <n v="35.809041966744971"/>
  </r>
  <r>
    <x v="5"/>
    <x v="12"/>
    <n v="6"/>
    <n v="8.9261532059656705"/>
  </r>
  <r>
    <x v="5"/>
    <x v="13"/>
    <n v="6"/>
    <n v="5.6108703511732871"/>
  </r>
  <r>
    <x v="5"/>
    <x v="14"/>
    <n v="80"/>
    <n v="53.889274461258907"/>
  </r>
  <r>
    <x v="5"/>
    <x v="15"/>
    <n v="84"/>
    <n v="59.373814242674378"/>
  </r>
  <r>
    <x v="5"/>
    <x v="16"/>
    <n v="81"/>
    <n v="56.330518869662207"/>
  </r>
  <r>
    <x v="6"/>
    <x v="1"/>
    <n v="41"/>
    <n v="22.751674061524909"/>
  </r>
  <r>
    <x v="6"/>
    <x v="2"/>
    <n v="81"/>
    <n v="39.612584573393761"/>
  </r>
  <r>
    <x v="6"/>
    <x v="3"/>
    <n v="121"/>
    <n v="50.779446424757857"/>
  </r>
  <r>
    <x v="6"/>
    <x v="4"/>
    <n v="88"/>
    <n v="35.398292618470059"/>
  </r>
  <r>
    <x v="6"/>
    <x v="5"/>
    <n v="74"/>
    <n v="32.402873526172193"/>
  </r>
  <r>
    <x v="6"/>
    <x v="6"/>
    <n v="38"/>
    <n v="23.196308957379621"/>
  </r>
  <r>
    <x v="6"/>
    <x v="7"/>
    <n v="12"/>
    <n v="9.6561034785266475"/>
  </r>
  <r>
    <x v="6"/>
    <x v="8"/>
    <n v="39"/>
    <n v="23.531928164674401"/>
  </r>
  <r>
    <x v="6"/>
    <x v="9"/>
    <n v="95"/>
    <n v="37.306381660639893"/>
  </r>
  <r>
    <x v="6"/>
    <x v="10"/>
    <n v="132"/>
    <n v="46.437192079308957"/>
  </r>
  <r>
    <x v="6"/>
    <x v="11"/>
    <n v="42"/>
    <n v="15.33275327002668"/>
  </r>
  <r>
    <x v="6"/>
    <x v="12"/>
    <n v="10"/>
    <n v="7.6594772484456994"/>
  </r>
  <r>
    <x v="6"/>
    <x v="13"/>
    <n v="5"/>
    <n v="7.1473492424046503"/>
  </r>
  <r>
    <x v="6"/>
    <x v="14"/>
    <n v="77"/>
    <n v="31.932066294303151"/>
  </r>
  <r>
    <x v="6"/>
    <x v="15"/>
    <n v="76"/>
    <n v="31.63278876521839"/>
  </r>
  <r>
    <x v="6"/>
    <x v="16"/>
    <n v="82"/>
    <n v="36.312287946839078"/>
  </r>
  <r>
    <x v="7"/>
    <x v="0"/>
    <n v="4"/>
    <n v="6.0350695356110018"/>
  </r>
  <r>
    <x v="7"/>
    <x v="1"/>
    <n v="48"/>
    <n v="22.629449549895121"/>
  </r>
  <r>
    <x v="7"/>
    <x v="3"/>
    <n v="97"/>
    <n v="39.65373177788377"/>
  </r>
  <r>
    <x v="7"/>
    <x v="4"/>
    <n v="108"/>
    <n v="55.240894475948792"/>
  </r>
  <r>
    <x v="7"/>
    <x v="5"/>
    <n v="55"/>
    <n v="27.869202874369631"/>
  </r>
  <r>
    <x v="7"/>
    <x v="6"/>
    <n v="39"/>
    <n v="21.252177753481639"/>
  </r>
  <r>
    <x v="7"/>
    <x v="7"/>
    <n v="14"/>
    <n v="9.5420347949626994"/>
  </r>
  <r>
    <x v="7"/>
    <x v="8"/>
    <n v="41"/>
    <n v="23.181193046219981"/>
  </r>
  <r>
    <x v="7"/>
    <x v="9"/>
    <n v="83"/>
    <n v="43.712586713400263"/>
  </r>
  <r>
    <x v="7"/>
    <x v="10"/>
    <n v="106"/>
    <n v="57.747643627027742"/>
  </r>
  <r>
    <x v="7"/>
    <x v="11"/>
    <n v="49"/>
    <n v="27.503997337354409"/>
  </r>
  <r>
    <x v="7"/>
    <x v="12"/>
    <n v="9"/>
    <n v="7.3246318725535247"/>
  </r>
  <r>
    <x v="7"/>
    <x v="13"/>
    <n v="7"/>
    <n v="5.9746827404258909"/>
  </r>
  <r>
    <x v="7"/>
    <x v="14"/>
    <n v="80"/>
    <n v="44.31112000195192"/>
  </r>
  <r>
    <x v="7"/>
    <x v="15"/>
    <n v="99"/>
    <n v="41.812339659910222"/>
  </r>
  <r>
    <x v="7"/>
    <x v="16"/>
    <n v="90"/>
    <n v="37.33179042130449"/>
  </r>
  <r>
    <x v="8"/>
    <x v="0"/>
    <n v="6"/>
    <n v="3.872748239401822"/>
  </r>
  <r>
    <x v="8"/>
    <x v="1"/>
    <n v="33"/>
    <n v="28.128654181286731"/>
  </r>
  <r>
    <x v="8"/>
    <x v="2"/>
    <n v="111"/>
    <n v="62.004724270723671"/>
  </r>
  <r>
    <x v="8"/>
    <x v="3"/>
    <n v="102"/>
    <n v="52.583117394984932"/>
  </r>
  <r>
    <x v="8"/>
    <x v="4"/>
    <n v="68"/>
    <n v="28.137474566738849"/>
  </r>
  <r>
    <x v="8"/>
    <x v="5"/>
    <n v="55"/>
    <n v="35.780683411288393"/>
  </r>
  <r>
    <x v="8"/>
    <x v="6"/>
    <n v="25"/>
    <n v="15.44224169804936"/>
  </r>
  <r>
    <x v="8"/>
    <x v="7"/>
    <n v="2"/>
    <n v="3.2569147811388439"/>
  </r>
  <r>
    <x v="8"/>
    <x v="8"/>
    <n v="51"/>
    <n v="32.908280496349789"/>
  </r>
  <r>
    <x v="8"/>
    <x v="9"/>
    <n v="59"/>
    <n v="29.37356640435285"/>
  </r>
  <r>
    <x v="8"/>
    <x v="10"/>
    <n v="106"/>
    <n v="35.933201216429687"/>
  </r>
  <r>
    <x v="8"/>
    <x v="11"/>
    <n v="39"/>
    <n v="26.32299852712223"/>
  </r>
  <r>
    <x v="8"/>
    <x v="12"/>
    <n v="8"/>
    <n v="6.5540629335609397"/>
  </r>
  <r>
    <x v="8"/>
    <x v="19"/>
    <n v="1"/>
    <n v="1.406875737771637"/>
  </r>
  <r>
    <x v="8"/>
    <x v="14"/>
    <n v="82"/>
    <n v="50.010496768199133"/>
  </r>
  <r>
    <x v="8"/>
    <x v="15"/>
    <n v="129"/>
    <n v="54.415887070742713"/>
  </r>
  <r>
    <x v="8"/>
    <x v="16"/>
    <n v="96"/>
    <n v="41.648881594027017"/>
  </r>
  <r>
    <x v="9"/>
    <x v="0"/>
    <n v="2"/>
    <n v="1.8390432901085261"/>
  </r>
  <r>
    <x v="9"/>
    <x v="2"/>
    <n v="100"/>
    <n v="47.459145071699552"/>
  </r>
  <r>
    <x v="9"/>
    <x v="3"/>
    <n v="120"/>
    <n v="47.697762819118942"/>
  </r>
  <r>
    <x v="9"/>
    <x v="4"/>
    <n v="112"/>
    <n v="47.091762759721178"/>
  </r>
  <r>
    <x v="9"/>
    <x v="5"/>
    <n v="85"/>
    <n v="40.234158791318507"/>
  </r>
  <r>
    <x v="9"/>
    <x v="6"/>
    <n v="34"/>
    <n v="14.71231386351681"/>
  </r>
  <r>
    <x v="9"/>
    <x v="7"/>
    <n v="6"/>
    <n v="5.6652716600295827"/>
  </r>
  <r>
    <x v="9"/>
    <x v="8"/>
    <n v="71"/>
    <n v="47.442277596600263"/>
  </r>
  <r>
    <x v="9"/>
    <x v="9"/>
    <n v="82"/>
    <n v="29.12679465437521"/>
  </r>
  <r>
    <x v="9"/>
    <x v="10"/>
    <n v="100"/>
    <n v="39.355258184927393"/>
  </r>
  <r>
    <x v="9"/>
    <x v="11"/>
    <n v="41"/>
    <n v="20.528273285714828"/>
  </r>
  <r>
    <x v="9"/>
    <x v="12"/>
    <n v="11"/>
    <n v="21.612534115561111"/>
  </r>
  <r>
    <x v="9"/>
    <x v="13"/>
    <n v="1"/>
    <n v="1.651791413527516"/>
  </r>
  <r>
    <x v="9"/>
    <x v="14"/>
    <n v="85"/>
    <n v="45.317438957613149"/>
  </r>
  <r>
    <x v="9"/>
    <x v="15"/>
    <n v="95"/>
    <n v="43.895855775662497"/>
  </r>
  <r>
    <x v="9"/>
    <x v="16"/>
    <n v="109"/>
    <n v="49.956264783839117"/>
  </r>
  <r>
    <x v="10"/>
    <x v="0"/>
    <n v="1"/>
    <n v="2.9354275224460888"/>
  </r>
  <r>
    <x v="10"/>
    <x v="1"/>
    <n v="36"/>
    <n v="26.831892046695231"/>
  </r>
  <r>
    <x v="10"/>
    <x v="2"/>
    <n v="88"/>
    <n v="49.421934215856709"/>
  </r>
  <r>
    <x v="10"/>
    <x v="3"/>
    <n v="115"/>
    <n v="60.830976044197961"/>
  </r>
  <r>
    <x v="10"/>
    <x v="4"/>
    <n v="89"/>
    <n v="48.872337749533919"/>
  </r>
  <r>
    <x v="10"/>
    <x v="5"/>
    <n v="54"/>
    <n v="28.040714576917619"/>
  </r>
  <r>
    <x v="10"/>
    <x v="6"/>
    <n v="21"/>
    <n v="11.17139938594438"/>
  </r>
  <r>
    <x v="10"/>
    <x v="7"/>
    <n v="11"/>
    <n v="10.636823813552169"/>
  </r>
  <r>
    <x v="10"/>
    <x v="8"/>
    <n v="49"/>
    <n v="24.784187366546309"/>
  </r>
  <r>
    <x v="10"/>
    <x v="9"/>
    <n v="101"/>
    <n v="50.947864144898347"/>
  </r>
  <r>
    <x v="10"/>
    <x v="10"/>
    <n v="115"/>
    <n v="49.419741779866627"/>
  </r>
  <r>
    <x v="10"/>
    <x v="11"/>
    <n v="33"/>
    <n v="22.322390634262721"/>
  </r>
  <r>
    <x v="10"/>
    <x v="12"/>
    <n v="5"/>
    <n v="3.4607112703248251"/>
  </r>
  <r>
    <x v="10"/>
    <x v="13"/>
    <n v="2"/>
    <n v="2.6134729871061091"/>
  </r>
  <r>
    <x v="10"/>
    <x v="14"/>
    <n v="96"/>
    <n v="50.025706893027873"/>
  </r>
  <r>
    <x v="10"/>
    <x v="15"/>
    <n v="59"/>
    <n v="33.973281857845542"/>
  </r>
  <r>
    <x v="10"/>
    <x v="16"/>
    <n v="89"/>
    <n v="57.110430061385173"/>
  </r>
  <r>
    <x v="11"/>
    <x v="0"/>
    <n v="1"/>
    <n v="0.48778702578710548"/>
  </r>
  <r>
    <x v="11"/>
    <x v="1"/>
    <n v="26"/>
    <n v="14.16259286468317"/>
  </r>
  <r>
    <x v="11"/>
    <x v="3"/>
    <n v="119"/>
    <n v="50.788681135826458"/>
  </r>
  <r>
    <x v="11"/>
    <x v="4"/>
    <n v="73"/>
    <n v="32.269782886426107"/>
  </r>
  <r>
    <x v="11"/>
    <x v="5"/>
    <n v="63"/>
    <n v="24.13863797302383"/>
  </r>
  <r>
    <x v="11"/>
    <x v="6"/>
    <n v="21"/>
    <n v="12.82282331187802"/>
  </r>
  <r>
    <x v="11"/>
    <x v="7"/>
    <n v="10"/>
    <n v="6.196330087387488"/>
  </r>
  <r>
    <x v="11"/>
    <x v="8"/>
    <n v="42"/>
    <n v="28.88454453722985"/>
  </r>
  <r>
    <x v="11"/>
    <x v="9"/>
    <n v="72"/>
    <n v="40.331323298435628"/>
  </r>
  <r>
    <x v="11"/>
    <x v="10"/>
    <n v="85"/>
    <n v="50.768607430101021"/>
  </r>
  <r>
    <x v="11"/>
    <x v="11"/>
    <n v="36"/>
    <n v="22.336975201545581"/>
  </r>
  <r>
    <x v="11"/>
    <x v="12"/>
    <n v="7"/>
    <n v="3.5040140546724361"/>
  </r>
  <r>
    <x v="11"/>
    <x v="13"/>
    <n v="3"/>
    <n v="3.0956910975916889"/>
  </r>
  <r>
    <x v="11"/>
    <x v="14"/>
    <n v="73"/>
    <n v="33.836959563202477"/>
  </r>
  <r>
    <x v="11"/>
    <x v="15"/>
    <n v="78"/>
    <n v="38.460767940641567"/>
  </r>
  <r>
    <x v="11"/>
    <x v="16"/>
    <n v="94"/>
    <n v="42.522048396619518"/>
  </r>
  <r>
    <x v="12"/>
    <x v="0"/>
    <n v="2"/>
    <n v="4.1335562407147108"/>
  </r>
  <r>
    <x v="12"/>
    <x v="1"/>
    <n v="43"/>
    <n v="25.44782662748543"/>
  </r>
  <r>
    <x v="12"/>
    <x v="2"/>
    <n v="90"/>
    <n v="45.338754114924242"/>
  </r>
  <r>
    <x v="12"/>
    <x v="3"/>
    <n v="123"/>
    <n v="38.238734127440992"/>
  </r>
  <r>
    <x v="12"/>
    <x v="4"/>
    <n v="107"/>
    <n v="43.535038426554067"/>
  </r>
  <r>
    <x v="12"/>
    <x v="5"/>
    <n v="62"/>
    <n v="20.75375799220193"/>
  </r>
  <r>
    <x v="12"/>
    <x v="6"/>
    <n v="24"/>
    <n v="13.139868122230389"/>
  </r>
  <r>
    <x v="12"/>
    <x v="7"/>
    <n v="9"/>
    <n v="6.2312959331391911"/>
  </r>
  <r>
    <x v="12"/>
    <x v="8"/>
    <n v="46"/>
    <n v="24.45832160224154"/>
  </r>
  <r>
    <x v="12"/>
    <x v="9"/>
    <n v="86"/>
    <n v="32.700367669198073"/>
  </r>
  <r>
    <x v="12"/>
    <x v="10"/>
    <n v="106"/>
    <n v="34.949929932550752"/>
  </r>
  <r>
    <x v="12"/>
    <x v="11"/>
    <n v="36"/>
    <n v="13.59671089536204"/>
  </r>
  <r>
    <x v="12"/>
    <x v="12"/>
    <n v="7"/>
    <n v="5.893266810126069"/>
  </r>
  <r>
    <x v="12"/>
    <x v="14"/>
    <n v="86"/>
    <n v="27.051764294858831"/>
  </r>
  <r>
    <x v="12"/>
    <x v="15"/>
    <n v="91"/>
    <n v="34.598718828061692"/>
  </r>
  <r>
    <x v="12"/>
    <x v="16"/>
    <n v="89"/>
    <n v="48.239941572300182"/>
  </r>
  <r>
    <x v="13"/>
    <x v="0"/>
    <n v="1"/>
    <n v="2.859332951336925"/>
  </r>
  <r>
    <x v="13"/>
    <x v="1"/>
    <n v="15"/>
    <n v="10.71975065835653"/>
  </r>
  <r>
    <x v="13"/>
    <x v="2"/>
    <n v="50"/>
    <n v="37.828532978281828"/>
  </r>
  <r>
    <x v="13"/>
    <x v="3"/>
    <n v="90"/>
    <n v="36.730866819068467"/>
  </r>
  <r>
    <x v="13"/>
    <x v="4"/>
    <n v="71"/>
    <n v="30.91460930029988"/>
  </r>
  <r>
    <x v="13"/>
    <x v="5"/>
    <n v="56"/>
    <n v="24.605334063808559"/>
  </r>
  <r>
    <x v="13"/>
    <x v="6"/>
    <n v="13"/>
    <n v="7.700863946027626"/>
  </r>
  <r>
    <x v="13"/>
    <x v="7"/>
    <n v="5"/>
    <n v="6.1459988315742882"/>
  </r>
  <r>
    <x v="13"/>
    <x v="8"/>
    <n v="64"/>
    <n v="35.03337846892282"/>
  </r>
  <r>
    <x v="13"/>
    <x v="9"/>
    <n v="88"/>
    <n v="37.983639333749842"/>
  </r>
  <r>
    <x v="13"/>
    <x v="10"/>
    <n v="124"/>
    <n v="55.087239609654013"/>
  </r>
  <r>
    <x v="13"/>
    <x v="11"/>
    <n v="44"/>
    <n v="17.576966819716521"/>
  </r>
  <r>
    <x v="13"/>
    <x v="12"/>
    <n v="6"/>
    <n v="4.8803214008194127"/>
  </r>
  <r>
    <x v="13"/>
    <x v="13"/>
    <n v="4"/>
    <n v="5.5917392893901807"/>
  </r>
  <r>
    <x v="13"/>
    <x v="14"/>
    <n v="55"/>
    <n v="25.324732094690379"/>
  </r>
  <r>
    <x v="13"/>
    <x v="15"/>
    <n v="42"/>
    <n v="24.51822150855088"/>
  </r>
  <r>
    <x v="13"/>
    <x v="16"/>
    <n v="74"/>
    <n v="39.774309091171013"/>
  </r>
  <r>
    <x v="14"/>
    <x v="0"/>
    <n v="2"/>
    <n v="3.4579361959674522"/>
  </r>
  <r>
    <x v="14"/>
    <x v="1"/>
    <n v="31"/>
    <n v="20.001581898103719"/>
  </r>
  <r>
    <x v="14"/>
    <x v="2"/>
    <n v="77"/>
    <n v="40.377990458567233"/>
  </r>
  <r>
    <x v="14"/>
    <x v="3"/>
    <n v="55"/>
    <n v="42.400824314017747"/>
  </r>
  <r>
    <x v="14"/>
    <x v="4"/>
    <n v="69"/>
    <n v="45.596808797731242"/>
  </r>
  <r>
    <x v="14"/>
    <x v="5"/>
    <n v="41"/>
    <n v="30.826671960045161"/>
  </r>
  <r>
    <x v="14"/>
    <x v="6"/>
    <n v="20"/>
    <n v="13.202588930980291"/>
  </r>
  <r>
    <x v="14"/>
    <x v="7"/>
    <n v="5"/>
    <n v="5.8091278581728707"/>
  </r>
  <r>
    <x v="14"/>
    <x v="8"/>
    <n v="50"/>
    <n v="30.251121573658441"/>
  </r>
  <r>
    <x v="14"/>
    <x v="9"/>
    <n v="80"/>
    <n v="30.67307899420658"/>
  </r>
  <r>
    <x v="14"/>
    <x v="10"/>
    <n v="97"/>
    <n v="65.63992696692253"/>
  </r>
  <r>
    <x v="14"/>
    <x v="11"/>
    <n v="17"/>
    <n v="11.365717182349851"/>
  </r>
  <r>
    <x v="14"/>
    <x v="12"/>
    <n v="6"/>
    <n v="6.6826887477508254"/>
  </r>
  <r>
    <x v="14"/>
    <x v="13"/>
    <n v="1"/>
    <n v="3.0025153366481718"/>
  </r>
  <r>
    <x v="14"/>
    <x v="14"/>
    <n v="52"/>
    <n v="36.202749978712973"/>
  </r>
  <r>
    <x v="14"/>
    <x v="15"/>
    <n v="42"/>
    <n v="31.381376940248881"/>
  </r>
  <r>
    <x v="14"/>
    <x v="16"/>
    <n v="70"/>
    <n v="44.935369993312243"/>
  </r>
  <r>
    <x v="15"/>
    <x v="0"/>
    <n v="1"/>
    <n v="0.52400340889963748"/>
  </r>
  <r>
    <x v="15"/>
    <x v="1"/>
    <n v="47"/>
    <n v="30.144438896686641"/>
  </r>
  <r>
    <x v="15"/>
    <x v="3"/>
    <n v="148"/>
    <n v="61.435985131423152"/>
  </r>
  <r>
    <x v="15"/>
    <x v="4"/>
    <n v="101"/>
    <n v="67.163754693836268"/>
  </r>
  <r>
    <x v="15"/>
    <x v="5"/>
    <n v="63"/>
    <n v="40.889521640149432"/>
  </r>
  <r>
    <x v="15"/>
    <x v="6"/>
    <n v="30"/>
    <n v="22.7494063912911"/>
  </r>
  <r>
    <x v="15"/>
    <x v="7"/>
    <n v="8"/>
    <n v="7.5418303130014577"/>
  </r>
  <r>
    <x v="15"/>
    <x v="8"/>
    <n v="50"/>
    <n v="36.588459104300881"/>
  </r>
  <r>
    <x v="15"/>
    <x v="9"/>
    <n v="80"/>
    <n v="46.589337015989933"/>
  </r>
  <r>
    <x v="15"/>
    <x v="10"/>
    <n v="94"/>
    <n v="74.029842915224762"/>
  </r>
  <r>
    <x v="15"/>
    <x v="11"/>
    <n v="36"/>
    <n v="22.120957617090401"/>
  </r>
  <r>
    <x v="15"/>
    <x v="12"/>
    <n v="10"/>
    <n v="4.1580555960247931"/>
  </r>
  <r>
    <x v="15"/>
    <x v="13"/>
    <n v="2"/>
    <n v="2.4902115350863521"/>
  </r>
  <r>
    <x v="15"/>
    <x v="14"/>
    <n v="54"/>
    <n v="34.908880416705543"/>
  </r>
  <r>
    <x v="15"/>
    <x v="16"/>
    <n v="94"/>
    <n v="65.935517866145261"/>
  </r>
  <r>
    <x v="16"/>
    <x v="0"/>
    <n v="9"/>
    <n v="10.668564215725519"/>
  </r>
  <r>
    <x v="16"/>
    <x v="1"/>
    <n v="50"/>
    <n v="42.982865407559942"/>
  </r>
  <r>
    <x v="16"/>
    <x v="2"/>
    <n v="83"/>
    <n v="44.815078881657143"/>
  </r>
  <r>
    <x v="16"/>
    <x v="3"/>
    <n v="122"/>
    <n v="64.792192432035478"/>
  </r>
  <r>
    <x v="16"/>
    <x v="4"/>
    <n v="73"/>
    <n v="40.576884092877947"/>
  </r>
  <r>
    <x v="16"/>
    <x v="5"/>
    <n v="67"/>
    <n v="49.236343854527732"/>
  </r>
  <r>
    <x v="16"/>
    <x v="6"/>
    <n v="46"/>
    <n v="35.270843225849312"/>
  </r>
  <r>
    <x v="16"/>
    <x v="7"/>
    <n v="10"/>
    <n v="10.421709117501241"/>
  </r>
  <r>
    <x v="16"/>
    <x v="8"/>
    <n v="70"/>
    <n v="36.376946094747787"/>
  </r>
  <r>
    <x v="16"/>
    <x v="9"/>
    <n v="106"/>
    <n v="51.711779098193119"/>
  </r>
  <r>
    <x v="16"/>
    <x v="10"/>
    <n v="125"/>
    <n v="88.319142419177766"/>
  </r>
  <r>
    <x v="16"/>
    <x v="11"/>
    <n v="32"/>
    <n v="24.92283919446529"/>
  </r>
  <r>
    <x v="16"/>
    <x v="12"/>
    <n v="11"/>
    <n v="8.6339776231859631"/>
  </r>
  <r>
    <x v="16"/>
    <x v="13"/>
    <n v="6"/>
    <n v="5.9036125743581653"/>
  </r>
  <r>
    <x v="16"/>
    <x v="14"/>
    <n v="78"/>
    <n v="55.865773796105827"/>
  </r>
  <r>
    <x v="16"/>
    <x v="15"/>
    <n v="88"/>
    <n v="52.204922524186728"/>
  </r>
  <r>
    <x v="16"/>
    <x v="16"/>
    <n v="102"/>
    <n v="62.472312387850529"/>
  </r>
  <r>
    <x v="17"/>
    <x v="0"/>
    <n v="5"/>
    <n v="4.4366444415069886"/>
  </r>
  <r>
    <x v="17"/>
    <x v="2"/>
    <n v="75"/>
    <n v="44.646021039290723"/>
  </r>
  <r>
    <x v="17"/>
    <x v="3"/>
    <n v="159"/>
    <n v="56.634620329455167"/>
  </r>
  <r>
    <x v="17"/>
    <x v="4"/>
    <n v="119"/>
    <n v="56.495568431995032"/>
  </r>
  <r>
    <x v="17"/>
    <x v="5"/>
    <n v="65"/>
    <n v="31.10130899207611"/>
  </r>
  <r>
    <x v="17"/>
    <x v="6"/>
    <n v="23"/>
    <n v="18.35306347667013"/>
  </r>
  <r>
    <x v="17"/>
    <x v="7"/>
    <n v="13"/>
    <n v="11.508285264527901"/>
  </r>
  <r>
    <x v="17"/>
    <x v="8"/>
    <n v="52"/>
    <n v="27.504650652808699"/>
  </r>
  <r>
    <x v="17"/>
    <x v="9"/>
    <n v="92"/>
    <n v="38.592559819771068"/>
  </r>
  <r>
    <x v="17"/>
    <x v="10"/>
    <n v="141"/>
    <n v="51.246057683441343"/>
  </r>
  <r>
    <x v="17"/>
    <x v="11"/>
    <n v="42"/>
    <n v="21.899314413625191"/>
  </r>
  <r>
    <x v="17"/>
    <x v="12"/>
    <n v="5"/>
    <n v="3.1785724180980801"/>
  </r>
  <r>
    <x v="17"/>
    <x v="13"/>
    <n v="3"/>
    <n v="5.1496845153556903"/>
  </r>
  <r>
    <x v="17"/>
    <x v="14"/>
    <n v="89"/>
    <n v="39.848785323259513"/>
  </r>
  <r>
    <x v="17"/>
    <x v="15"/>
    <n v="82"/>
    <n v="59.732830472498648"/>
  </r>
  <r>
    <x v="17"/>
    <x v="16"/>
    <n v="110"/>
    <n v="43.057943254102362"/>
  </r>
  <r>
    <x v="18"/>
    <x v="1"/>
    <n v="20"/>
    <n v="11.65386025870246"/>
  </r>
  <r>
    <x v="18"/>
    <x v="2"/>
    <n v="31"/>
    <n v="14.83259271897108"/>
  </r>
  <r>
    <x v="18"/>
    <x v="3"/>
    <n v="44"/>
    <n v="18.425747915945351"/>
  </r>
  <r>
    <x v="18"/>
    <x v="4"/>
    <n v="52"/>
    <n v="17.70980704606011"/>
  </r>
  <r>
    <x v="18"/>
    <x v="5"/>
    <n v="31"/>
    <n v="12.382939231902331"/>
  </r>
  <r>
    <x v="18"/>
    <x v="6"/>
    <n v="10"/>
    <n v="4.9977933476824834"/>
  </r>
  <r>
    <x v="18"/>
    <x v="7"/>
    <n v="5"/>
    <n v="4.2783795141968151"/>
  </r>
  <r>
    <x v="18"/>
    <x v="8"/>
    <n v="35"/>
    <n v="19.5214911979485"/>
  </r>
  <r>
    <x v="18"/>
    <x v="9"/>
    <n v="65"/>
    <n v="21.4469109694016"/>
  </r>
  <r>
    <x v="18"/>
    <x v="10"/>
    <n v="76"/>
    <n v="26.669772001695431"/>
  </r>
  <r>
    <x v="18"/>
    <x v="11"/>
    <n v="18"/>
    <n v="13.052606435706689"/>
  </r>
  <r>
    <x v="18"/>
    <x v="12"/>
    <n v="6"/>
    <n v="3.7937329036227232"/>
  </r>
  <r>
    <x v="18"/>
    <x v="14"/>
    <n v="38"/>
    <n v="15.22060456519028"/>
  </r>
  <r>
    <x v="18"/>
    <x v="15"/>
    <n v="44"/>
    <n v="15.406298308890239"/>
  </r>
  <r>
    <x v="18"/>
    <x v="16"/>
    <n v="67"/>
    <n v="26.41742460598865"/>
  </r>
  <r>
    <x v="19"/>
    <x v="0"/>
    <n v="4"/>
    <n v="2.4685433625575719"/>
  </r>
  <r>
    <x v="19"/>
    <x v="1"/>
    <n v="35"/>
    <n v="16.266204434347841"/>
  </r>
  <r>
    <x v="19"/>
    <x v="2"/>
    <n v="77"/>
    <n v="40.422435286983777"/>
  </r>
  <r>
    <x v="19"/>
    <x v="3"/>
    <n v="125"/>
    <n v="57.906262416186593"/>
  </r>
  <r>
    <x v="19"/>
    <x v="4"/>
    <n v="78"/>
    <n v="35.455788969635023"/>
  </r>
  <r>
    <x v="19"/>
    <x v="5"/>
    <n v="65"/>
    <n v="30.726941862108099"/>
  </r>
  <r>
    <x v="19"/>
    <x v="6"/>
    <n v="39"/>
    <n v="22.738806840901042"/>
  </r>
  <r>
    <x v="19"/>
    <x v="7"/>
    <n v="8"/>
    <n v="14.582652774850549"/>
  </r>
  <r>
    <x v="19"/>
    <x v="8"/>
    <n v="49"/>
    <n v="21.506033045681651"/>
  </r>
  <r>
    <x v="19"/>
    <x v="9"/>
    <n v="84"/>
    <n v="32.83093749740496"/>
  </r>
  <r>
    <x v="19"/>
    <x v="10"/>
    <n v="138"/>
    <n v="53.744394639411603"/>
  </r>
  <r>
    <x v="19"/>
    <x v="11"/>
    <n v="51"/>
    <n v="32.757946453814341"/>
  </r>
  <r>
    <x v="19"/>
    <x v="12"/>
    <n v="13"/>
    <n v="8.9353590734520498"/>
  </r>
  <r>
    <x v="19"/>
    <x v="13"/>
    <n v="3"/>
    <n v="2.5245387822965242"/>
  </r>
  <r>
    <x v="19"/>
    <x v="14"/>
    <n v="47"/>
    <n v="26.071403407925029"/>
  </r>
  <r>
    <x v="19"/>
    <x v="15"/>
    <n v="80"/>
    <n v="31.199160364976009"/>
  </r>
  <r>
    <x v="19"/>
    <x v="16"/>
    <n v="95"/>
    <n v="47.433083636996379"/>
  </r>
  <r>
    <x v="20"/>
    <x v="0"/>
    <n v="3"/>
    <n v="6.4532299316298749"/>
  </r>
  <r>
    <x v="20"/>
    <x v="1"/>
    <n v="42"/>
    <n v="31.696323216252392"/>
  </r>
  <r>
    <x v="20"/>
    <x v="2"/>
    <n v="83"/>
    <n v="64.53479935583681"/>
  </r>
  <r>
    <x v="20"/>
    <x v="3"/>
    <n v="104"/>
    <n v="55.656750594574497"/>
  </r>
  <r>
    <x v="20"/>
    <x v="4"/>
    <n v="73"/>
    <n v="37.625800767456212"/>
  </r>
  <r>
    <x v="20"/>
    <x v="5"/>
    <n v="60"/>
    <n v="37.027743874621187"/>
  </r>
  <r>
    <x v="20"/>
    <x v="6"/>
    <n v="27"/>
    <n v="19.139385639838519"/>
  </r>
  <r>
    <x v="20"/>
    <x v="7"/>
    <n v="5"/>
    <n v="7.605700474090197"/>
  </r>
  <r>
    <x v="20"/>
    <x v="8"/>
    <n v="61"/>
    <n v="39.529781447577037"/>
  </r>
  <r>
    <x v="20"/>
    <x v="9"/>
    <n v="90"/>
    <n v="47.421984079246258"/>
  </r>
  <r>
    <x v="20"/>
    <x v="10"/>
    <n v="106"/>
    <n v="56.763575874455299"/>
  </r>
  <r>
    <x v="20"/>
    <x v="11"/>
    <n v="34"/>
    <n v="26.759149202658069"/>
  </r>
  <r>
    <x v="20"/>
    <x v="12"/>
    <n v="6"/>
    <n v="11.899520002413469"/>
  </r>
  <r>
    <x v="20"/>
    <x v="14"/>
    <n v="60"/>
    <n v="36.827464453900348"/>
  </r>
  <r>
    <x v="20"/>
    <x v="15"/>
    <n v="55"/>
    <n v="55.605504945894253"/>
  </r>
  <r>
    <x v="20"/>
    <x v="16"/>
    <n v="65"/>
    <n v="42.515238211613998"/>
  </r>
  <r>
    <x v="21"/>
    <x v="1"/>
    <n v="41"/>
    <n v="23.135577833277068"/>
  </r>
  <r>
    <x v="21"/>
    <x v="3"/>
    <n v="113"/>
    <n v="51.599639378526959"/>
  </r>
  <r>
    <x v="21"/>
    <x v="4"/>
    <n v="90"/>
    <n v="44.703701286369188"/>
  </r>
  <r>
    <x v="21"/>
    <x v="5"/>
    <n v="59"/>
    <n v="27.185257817178741"/>
  </r>
  <r>
    <x v="21"/>
    <x v="6"/>
    <n v="26"/>
    <n v="13.49120697313583"/>
  </r>
  <r>
    <x v="21"/>
    <x v="7"/>
    <n v="7"/>
    <n v="4.8802901438349764"/>
  </r>
  <r>
    <x v="21"/>
    <x v="8"/>
    <n v="38"/>
    <n v="23.45589489672302"/>
  </r>
  <r>
    <x v="21"/>
    <x v="9"/>
    <n v="56"/>
    <n v="22.508605287024722"/>
  </r>
  <r>
    <x v="21"/>
    <x v="10"/>
    <n v="129"/>
    <n v="79.203436661984412"/>
  </r>
  <r>
    <x v="21"/>
    <x v="11"/>
    <n v="36"/>
    <n v="19.175560103892391"/>
  </r>
  <r>
    <x v="21"/>
    <x v="12"/>
    <n v="6"/>
    <n v="5.1528471335017381"/>
  </r>
  <r>
    <x v="21"/>
    <x v="13"/>
    <n v="3"/>
    <n v="3.6841571744352319"/>
  </r>
  <r>
    <x v="21"/>
    <x v="14"/>
    <n v="58"/>
    <n v="21.714236059619001"/>
  </r>
  <r>
    <x v="21"/>
    <x v="15"/>
    <n v="43"/>
    <n v="22.83274274535929"/>
  </r>
  <r>
    <x v="21"/>
    <x v="16"/>
    <n v="61"/>
    <n v="24.55429070829662"/>
  </r>
  <r>
    <x v="22"/>
    <x v="0"/>
    <n v="2"/>
    <n v="6.3872539379628526"/>
  </r>
  <r>
    <x v="22"/>
    <x v="1"/>
    <n v="53"/>
    <n v="46.161563950100167"/>
  </r>
  <r>
    <x v="22"/>
    <x v="2"/>
    <n v="80"/>
    <n v="79.625845948382363"/>
  </r>
  <r>
    <x v="22"/>
    <x v="3"/>
    <n v="104"/>
    <n v="72.518330380932667"/>
  </r>
  <r>
    <x v="22"/>
    <x v="4"/>
    <n v="91"/>
    <n v="60.890674466453177"/>
  </r>
  <r>
    <x v="22"/>
    <x v="5"/>
    <n v="56"/>
    <n v="46.643637098402891"/>
  </r>
  <r>
    <x v="22"/>
    <x v="6"/>
    <n v="34"/>
    <n v="25.706427396711899"/>
  </r>
  <r>
    <x v="22"/>
    <x v="7"/>
    <n v="11"/>
    <n v="15.506322071140371"/>
  </r>
  <r>
    <x v="22"/>
    <x v="8"/>
    <n v="50"/>
    <n v="46.836371784549598"/>
  </r>
  <r>
    <x v="22"/>
    <x v="9"/>
    <n v="97"/>
    <n v="84.341150779535283"/>
  </r>
  <r>
    <x v="22"/>
    <x v="10"/>
    <n v="98"/>
    <n v="67.007507764046125"/>
  </r>
  <r>
    <x v="22"/>
    <x v="11"/>
    <n v="40"/>
    <n v="41.684625515672231"/>
  </r>
  <r>
    <x v="22"/>
    <x v="13"/>
    <n v="3"/>
    <n v="8.3325649652422467"/>
  </r>
  <r>
    <x v="22"/>
    <x v="14"/>
    <n v="79"/>
    <n v="60.503898710657992"/>
  </r>
  <r>
    <x v="22"/>
    <x v="15"/>
    <n v="69"/>
    <n v="76.42530698029401"/>
  </r>
  <r>
    <x v="22"/>
    <x v="16"/>
    <n v="77"/>
    <n v="92.322403072655277"/>
  </r>
  <r>
    <x v="23"/>
    <x v="0"/>
    <n v="2"/>
    <n v="1.903212050780005"/>
  </r>
  <r>
    <x v="23"/>
    <x v="1"/>
    <n v="47"/>
    <n v="21.40412640903639"/>
  </r>
  <r>
    <x v="23"/>
    <x v="2"/>
    <n v="136"/>
    <n v="72.556786496929661"/>
  </r>
  <r>
    <x v="23"/>
    <x v="3"/>
    <n v="127"/>
    <n v="53.93246206468087"/>
  </r>
  <r>
    <x v="23"/>
    <x v="4"/>
    <n v="85"/>
    <n v="60.531198988795239"/>
  </r>
  <r>
    <x v="23"/>
    <x v="5"/>
    <n v="75"/>
    <n v="64.773843098758888"/>
  </r>
  <r>
    <x v="23"/>
    <x v="6"/>
    <n v="29"/>
    <n v="12.190452075838831"/>
  </r>
  <r>
    <x v="23"/>
    <x v="7"/>
    <n v="10"/>
    <n v="8.5702478257977592"/>
  </r>
  <r>
    <x v="23"/>
    <x v="8"/>
    <n v="49"/>
    <n v="25.577605978704401"/>
  </r>
  <r>
    <x v="23"/>
    <x v="9"/>
    <n v="79"/>
    <n v="34.84816121090342"/>
  </r>
  <r>
    <x v="23"/>
    <x v="10"/>
    <n v="122"/>
    <n v="58.498033591265781"/>
  </r>
  <r>
    <x v="23"/>
    <x v="11"/>
    <n v="46"/>
    <n v="26.02496134844213"/>
  </r>
  <r>
    <x v="23"/>
    <x v="12"/>
    <n v="10"/>
    <n v="10.75902488877245"/>
  </r>
  <r>
    <x v="23"/>
    <x v="13"/>
    <n v="4"/>
    <n v="3.42953860783149"/>
  </r>
  <r>
    <x v="23"/>
    <x v="14"/>
    <n v="82"/>
    <n v="31.814113671490421"/>
  </r>
  <r>
    <x v="23"/>
    <x v="15"/>
    <n v="118"/>
    <n v="60.075489883257717"/>
  </r>
  <r>
    <x v="23"/>
    <x v="16"/>
    <n v="66"/>
    <n v="32.994765958644038"/>
  </r>
  <r>
    <x v="24"/>
    <x v="0"/>
    <n v="2"/>
    <n v="2.8609190454935089"/>
  </r>
  <r>
    <x v="24"/>
    <x v="1"/>
    <n v="37"/>
    <n v="19.022694118083699"/>
  </r>
  <r>
    <x v="24"/>
    <x v="2"/>
    <n v="113"/>
    <n v="50.206499172552512"/>
  </r>
  <r>
    <x v="24"/>
    <x v="3"/>
    <n v="112"/>
    <n v="55.729383411793883"/>
  </r>
  <r>
    <x v="24"/>
    <x v="4"/>
    <n v="113"/>
    <n v="54.501152138372802"/>
  </r>
  <r>
    <x v="24"/>
    <x v="5"/>
    <n v="101"/>
    <n v="48.428287341173217"/>
  </r>
  <r>
    <x v="24"/>
    <x v="6"/>
    <n v="42"/>
    <n v="21.929773547524611"/>
  </r>
  <r>
    <x v="24"/>
    <x v="18"/>
    <n v="1"/>
    <n v="2.1486596115433079"/>
  </r>
  <r>
    <x v="24"/>
    <x v="7"/>
    <n v="11"/>
    <n v="6.316802675381588"/>
  </r>
  <r>
    <x v="24"/>
    <x v="8"/>
    <n v="65"/>
    <n v="30.88022033719465"/>
  </r>
  <r>
    <x v="24"/>
    <x v="9"/>
    <n v="102"/>
    <n v="37.958829078323809"/>
  </r>
  <r>
    <x v="24"/>
    <x v="10"/>
    <n v="135"/>
    <n v="55.548203604142167"/>
  </r>
  <r>
    <x v="24"/>
    <x v="11"/>
    <n v="32"/>
    <n v="14.37931801003662"/>
  </r>
  <r>
    <x v="24"/>
    <x v="12"/>
    <n v="7"/>
    <n v="4.3019094239389011"/>
  </r>
  <r>
    <x v="24"/>
    <x v="13"/>
    <n v="5"/>
    <n v="3.4531655750839629"/>
  </r>
  <r>
    <x v="24"/>
    <x v="14"/>
    <n v="129"/>
    <n v="44.447710387893672"/>
  </r>
  <r>
    <x v="24"/>
    <x v="15"/>
    <n v="90"/>
    <n v="34.795152991887051"/>
  </r>
  <r>
    <x v="24"/>
    <x v="16"/>
    <n v="118"/>
    <n v="45.535644584807933"/>
  </r>
  <r>
    <x v="25"/>
    <x v="0"/>
    <n v="2"/>
    <n v="4.3375123803551698"/>
  </r>
  <r>
    <x v="25"/>
    <x v="1"/>
    <n v="29"/>
    <n v="25.73981322789513"/>
  </r>
  <r>
    <x v="25"/>
    <x v="2"/>
    <n v="57"/>
    <n v="47.907942802344827"/>
  </r>
  <r>
    <x v="25"/>
    <x v="3"/>
    <n v="96"/>
    <n v="40.219280725321752"/>
  </r>
  <r>
    <x v="25"/>
    <x v="4"/>
    <n v="63"/>
    <n v="47.239322318582467"/>
  </r>
  <r>
    <x v="25"/>
    <x v="5"/>
    <n v="57"/>
    <n v="25.438813379405669"/>
  </r>
  <r>
    <x v="25"/>
    <x v="6"/>
    <n v="20"/>
    <n v="17.593056856615149"/>
  </r>
  <r>
    <x v="25"/>
    <x v="7"/>
    <n v="7"/>
    <n v="8.3256081256245729"/>
  </r>
  <r>
    <x v="25"/>
    <x v="8"/>
    <n v="30"/>
    <n v="19.218797463370599"/>
  </r>
  <r>
    <x v="25"/>
    <x v="9"/>
    <n v="63"/>
    <n v="24.494198670053091"/>
  </r>
  <r>
    <x v="25"/>
    <x v="10"/>
    <n v="72"/>
    <n v="47.661427619515877"/>
  </r>
  <r>
    <x v="25"/>
    <x v="11"/>
    <n v="24"/>
    <n v="23.435614194375241"/>
  </r>
  <r>
    <x v="25"/>
    <x v="12"/>
    <n v="2"/>
    <n v="3.9807331355525881"/>
  </r>
  <r>
    <x v="25"/>
    <x v="20"/>
    <n v="1"/>
    <n v="3.4545051302870071"/>
  </r>
  <r>
    <x v="25"/>
    <x v="13"/>
    <n v="2"/>
    <n v="3.4213882424221151"/>
  </r>
  <r>
    <x v="25"/>
    <x v="14"/>
    <n v="69"/>
    <n v="37.207446402245971"/>
  </r>
  <r>
    <x v="25"/>
    <x v="15"/>
    <n v="65"/>
    <n v="42.960768474336277"/>
  </r>
  <r>
    <x v="25"/>
    <x v="16"/>
    <n v="78"/>
    <n v="54.004923025103039"/>
  </r>
  <r>
    <x v="26"/>
    <x v="0"/>
    <n v="3"/>
    <n v="3.9209762319917338"/>
  </r>
  <r>
    <x v="26"/>
    <x v="1"/>
    <n v="37"/>
    <n v="22.164689114264629"/>
  </r>
  <r>
    <x v="26"/>
    <x v="2"/>
    <n v="91"/>
    <n v="45.458552909384593"/>
  </r>
  <r>
    <x v="26"/>
    <x v="3"/>
    <n v="125"/>
    <n v="52.282829952789783"/>
  </r>
  <r>
    <x v="26"/>
    <x v="4"/>
    <n v="83"/>
    <n v="42.199333780347771"/>
  </r>
  <r>
    <x v="26"/>
    <x v="5"/>
    <n v="85"/>
    <n v="41.035140088697879"/>
  </r>
  <r>
    <x v="26"/>
    <x v="6"/>
    <n v="31"/>
    <n v="16.66569062303401"/>
  </r>
  <r>
    <x v="26"/>
    <x v="7"/>
    <n v="4"/>
    <n v="4.7320942915907427"/>
  </r>
  <r>
    <x v="26"/>
    <x v="8"/>
    <n v="82"/>
    <n v="52.627068750136189"/>
  </r>
  <r>
    <x v="26"/>
    <x v="9"/>
    <n v="91"/>
    <n v="52.330369022175027"/>
  </r>
  <r>
    <x v="26"/>
    <x v="10"/>
    <n v="125"/>
    <n v="51.662453335126983"/>
  </r>
  <r>
    <x v="26"/>
    <x v="11"/>
    <n v="47"/>
    <n v="24.49564289138695"/>
  </r>
  <r>
    <x v="26"/>
    <x v="12"/>
    <n v="7"/>
    <n v="7.3454378151123594"/>
  </r>
  <r>
    <x v="26"/>
    <x v="13"/>
    <n v="2"/>
    <n v="3.6428376674542808"/>
  </r>
  <r>
    <x v="26"/>
    <x v="14"/>
    <n v="96"/>
    <n v="34.484183222194943"/>
  </r>
  <r>
    <x v="26"/>
    <x v="15"/>
    <n v="91"/>
    <n v="39.386574895132703"/>
  </r>
  <r>
    <x v="26"/>
    <x v="16"/>
    <n v="97"/>
    <n v="33.550279475107217"/>
  </r>
  <r>
    <x v="27"/>
    <x v="0"/>
    <n v="2"/>
    <n v="3.188827881260127"/>
  </r>
  <r>
    <x v="27"/>
    <x v="1"/>
    <n v="32"/>
    <n v="16.370805430007859"/>
  </r>
  <r>
    <x v="27"/>
    <x v="2"/>
    <n v="64"/>
    <n v="39.887206664074661"/>
  </r>
  <r>
    <x v="27"/>
    <x v="3"/>
    <n v="96"/>
    <n v="50.645457641197751"/>
  </r>
  <r>
    <x v="27"/>
    <x v="4"/>
    <n v="76"/>
    <n v="42.807948668882467"/>
  </r>
  <r>
    <x v="27"/>
    <x v="5"/>
    <n v="62"/>
    <n v="40.492262869449341"/>
  </r>
  <r>
    <x v="27"/>
    <x v="6"/>
    <n v="13"/>
    <n v="7.946159335227363"/>
  </r>
  <r>
    <x v="27"/>
    <x v="7"/>
    <n v="6"/>
    <n v="6.0061290686108508"/>
  </r>
  <r>
    <x v="27"/>
    <x v="8"/>
    <n v="51"/>
    <n v="22.336372756349409"/>
  </r>
  <r>
    <x v="27"/>
    <x v="9"/>
    <n v="64"/>
    <n v="27.139677491863988"/>
  </r>
  <r>
    <x v="27"/>
    <x v="10"/>
    <n v="97"/>
    <n v="50.512491248993577"/>
  </r>
  <r>
    <x v="27"/>
    <x v="11"/>
    <n v="23"/>
    <n v="11.97747677305572"/>
  </r>
  <r>
    <x v="27"/>
    <x v="12"/>
    <n v="6"/>
    <n v="3.5939470320063598"/>
  </r>
  <r>
    <x v="27"/>
    <x v="13"/>
    <n v="2"/>
    <n v="2.8103798743562969"/>
  </r>
  <r>
    <x v="27"/>
    <x v="14"/>
    <n v="48"/>
    <n v="20.799651184022132"/>
  </r>
  <r>
    <x v="27"/>
    <x v="15"/>
    <n v="61"/>
    <n v="33.875756544315138"/>
  </r>
  <r>
    <x v="27"/>
    <x v="16"/>
    <n v="86"/>
    <n v="36.749642815587038"/>
  </r>
  <r>
    <x v="28"/>
    <x v="0"/>
    <n v="2"/>
    <n v="4.6853394913790973"/>
  </r>
  <r>
    <x v="28"/>
    <x v="2"/>
    <n v="85"/>
    <n v="40.550239940328453"/>
  </r>
  <r>
    <x v="28"/>
    <x v="3"/>
    <n v="87"/>
    <n v="39.726645705859752"/>
  </r>
  <r>
    <x v="28"/>
    <x v="4"/>
    <n v="63"/>
    <n v="33.192844371952731"/>
  </r>
  <r>
    <x v="28"/>
    <x v="5"/>
    <n v="48"/>
    <n v="25.50757605889476"/>
  </r>
  <r>
    <x v="28"/>
    <x v="6"/>
    <n v="32"/>
    <n v="20.674222117432851"/>
  </r>
  <r>
    <x v="28"/>
    <x v="7"/>
    <n v="4"/>
    <n v="6.0741357196897026"/>
  </r>
  <r>
    <x v="28"/>
    <x v="8"/>
    <n v="38"/>
    <n v="26.053993494804921"/>
  </r>
  <r>
    <x v="28"/>
    <x v="9"/>
    <n v="56"/>
    <n v="29.473567110492471"/>
  </r>
  <r>
    <x v="28"/>
    <x v="10"/>
    <n v="87"/>
    <n v="45.707380727990952"/>
  </r>
  <r>
    <x v="28"/>
    <x v="11"/>
    <n v="36"/>
    <n v="22.575103170682549"/>
  </r>
  <r>
    <x v="28"/>
    <x v="12"/>
    <n v="4"/>
    <n v="6.5090403943391726"/>
  </r>
  <r>
    <x v="28"/>
    <x v="13"/>
    <n v="5"/>
    <n v="7.3072211185885969"/>
  </r>
  <r>
    <x v="28"/>
    <x v="14"/>
    <n v="66"/>
    <n v="30.268707241220721"/>
  </r>
  <r>
    <x v="28"/>
    <x v="15"/>
    <n v="95"/>
    <n v="41.586412564479573"/>
  </r>
  <r>
    <x v="28"/>
    <x v="16"/>
    <n v="97"/>
    <n v="39.012398801041229"/>
  </r>
  <r>
    <x v="29"/>
    <x v="0"/>
    <n v="5"/>
    <n v="4.6908668011344652"/>
  </r>
  <r>
    <x v="29"/>
    <x v="1"/>
    <n v="33"/>
    <n v="16.346185795658339"/>
  </r>
  <r>
    <x v="29"/>
    <x v="2"/>
    <n v="79"/>
    <n v="39.220529093672859"/>
  </r>
  <r>
    <x v="29"/>
    <x v="5"/>
    <n v="57"/>
    <n v="22.641463812619222"/>
  </r>
  <r>
    <x v="29"/>
    <x v="6"/>
    <n v="26"/>
    <n v="13.84402562850191"/>
  </r>
  <r>
    <x v="29"/>
    <x v="7"/>
    <n v="5"/>
    <n v="4.5662755447086019"/>
  </r>
  <r>
    <x v="29"/>
    <x v="8"/>
    <n v="26"/>
    <n v="11.972515386278751"/>
  </r>
  <r>
    <x v="29"/>
    <x v="9"/>
    <n v="72"/>
    <n v="22.248803424616"/>
  </r>
  <r>
    <x v="29"/>
    <x v="11"/>
    <n v="52"/>
    <n v="24.629152651862992"/>
  </r>
  <r>
    <x v="29"/>
    <x v="12"/>
    <n v="7"/>
    <n v="5.7941320419529863"/>
  </r>
  <r>
    <x v="29"/>
    <x v="14"/>
    <n v="72"/>
    <n v="22.998769203652341"/>
  </r>
  <r>
    <x v="29"/>
    <x v="15"/>
    <n v="74"/>
    <n v="26.87870607273442"/>
  </r>
  <r>
    <x v="29"/>
    <x v="16"/>
    <n v="80"/>
    <n v="23.225137526873581"/>
  </r>
  <r>
    <x v="30"/>
    <x v="0"/>
    <n v="6"/>
    <n v="9.1735856902628026"/>
  </r>
  <r>
    <x v="30"/>
    <x v="1"/>
    <n v="37"/>
    <n v="29.760818129406161"/>
  </r>
  <r>
    <x v="30"/>
    <x v="2"/>
    <n v="72"/>
    <n v="36.635640088376213"/>
  </r>
  <r>
    <x v="30"/>
    <x v="3"/>
    <n v="109"/>
    <n v="37.592084482094009"/>
  </r>
  <r>
    <x v="30"/>
    <x v="5"/>
    <n v="51"/>
    <n v="32.950374015439458"/>
  </r>
  <r>
    <x v="30"/>
    <x v="6"/>
    <n v="20"/>
    <n v="11.40587510780774"/>
  </r>
  <r>
    <x v="30"/>
    <x v="7"/>
    <n v="10"/>
    <n v="6.9415276252492362"/>
  </r>
  <r>
    <x v="30"/>
    <x v="8"/>
    <n v="42"/>
    <n v="25.587955254665609"/>
  </r>
  <r>
    <x v="30"/>
    <x v="9"/>
    <n v="77"/>
    <n v="35.434524084021938"/>
  </r>
  <r>
    <x v="30"/>
    <x v="10"/>
    <n v="95"/>
    <n v="55.633053677518447"/>
  </r>
  <r>
    <x v="30"/>
    <x v="11"/>
    <n v="32"/>
    <n v="18.520642200303548"/>
  </r>
  <r>
    <x v="30"/>
    <x v="12"/>
    <n v="11"/>
    <n v="7.1449816869865224"/>
  </r>
  <r>
    <x v="30"/>
    <x v="13"/>
    <n v="7"/>
    <n v="9.8226685313650055"/>
  </r>
  <r>
    <x v="30"/>
    <x v="14"/>
    <n v="59"/>
    <n v="31.975450312964941"/>
  </r>
  <r>
    <x v="30"/>
    <x v="16"/>
    <n v="80"/>
    <n v="31.97212982132627"/>
  </r>
  <r>
    <x v="31"/>
    <x v="21"/>
    <n v="1"/>
    <n v="4.8607130573020862"/>
  </r>
  <r>
    <x v="31"/>
    <x v="0"/>
    <n v="2"/>
    <n v="4.6863285729386357"/>
  </r>
  <r>
    <x v="31"/>
    <x v="1"/>
    <n v="35"/>
    <n v="59.464794395588733"/>
  </r>
  <r>
    <x v="31"/>
    <x v="2"/>
    <n v="53"/>
    <n v="66.185983841364248"/>
  </r>
  <r>
    <x v="31"/>
    <x v="3"/>
    <n v="95"/>
    <n v="116.429554879983"/>
  </r>
  <r>
    <x v="31"/>
    <x v="4"/>
    <n v="64"/>
    <n v="112.29568917838439"/>
  </r>
  <r>
    <x v="31"/>
    <x v="5"/>
    <n v="60"/>
    <n v="84.787601513481277"/>
  </r>
  <r>
    <x v="31"/>
    <x v="6"/>
    <n v="26"/>
    <n v="36.935236473154333"/>
  </r>
  <r>
    <x v="31"/>
    <x v="7"/>
    <n v="5"/>
    <n v="6.5253656719637618"/>
  </r>
  <r>
    <x v="31"/>
    <x v="8"/>
    <n v="45"/>
    <n v="60.75779567945164"/>
  </r>
  <r>
    <x v="31"/>
    <x v="9"/>
    <n v="90"/>
    <n v="135.31051423773121"/>
  </r>
  <r>
    <x v="31"/>
    <x v="10"/>
    <n v="92"/>
    <n v="161.32818183571251"/>
  </r>
  <r>
    <x v="31"/>
    <x v="11"/>
    <n v="36"/>
    <n v="55.972425062343007"/>
  </r>
  <r>
    <x v="31"/>
    <x v="12"/>
    <n v="9"/>
    <n v="12.50737968590294"/>
  </r>
  <r>
    <x v="31"/>
    <x v="19"/>
    <n v="1"/>
    <n v="4.1810142134648709"/>
  </r>
  <r>
    <x v="31"/>
    <x v="13"/>
    <n v="1"/>
    <n v="5.2809789146998716"/>
  </r>
  <r>
    <x v="31"/>
    <x v="14"/>
    <n v="60"/>
    <n v="66.859740270476408"/>
  </r>
  <r>
    <x v="31"/>
    <x v="15"/>
    <n v="62"/>
    <n v="99.305532279480559"/>
  </r>
  <r>
    <x v="31"/>
    <x v="16"/>
    <n v="87"/>
    <n v="44.856314305424569"/>
  </r>
  <r>
    <x v="32"/>
    <x v="0"/>
    <n v="4"/>
    <n v="4.1122938944524048"/>
  </r>
  <r>
    <x v="32"/>
    <x v="1"/>
    <n v="34"/>
    <n v="16.493293082836441"/>
  </r>
  <r>
    <x v="32"/>
    <x v="2"/>
    <n v="92"/>
    <n v="52.195919175107917"/>
  </r>
  <r>
    <x v="32"/>
    <x v="3"/>
    <n v="93"/>
    <n v="42.4413626359188"/>
  </r>
  <r>
    <x v="32"/>
    <x v="4"/>
    <n v="59"/>
    <n v="22.332122929403141"/>
  </r>
  <r>
    <x v="32"/>
    <x v="5"/>
    <n v="46"/>
    <n v="26.268319435193732"/>
  </r>
  <r>
    <x v="32"/>
    <x v="6"/>
    <n v="20"/>
    <n v="10.461866580207911"/>
  </r>
  <r>
    <x v="32"/>
    <x v="18"/>
    <n v="1"/>
    <n v="0.86350848137965008"/>
  </r>
  <r>
    <x v="32"/>
    <x v="7"/>
    <n v="7"/>
    <n v="5.5785003391875936"/>
  </r>
  <r>
    <x v="32"/>
    <x v="8"/>
    <n v="40"/>
    <n v="18.95736224906473"/>
  </r>
  <r>
    <x v="32"/>
    <x v="9"/>
    <n v="80"/>
    <n v="30.55096762807041"/>
  </r>
  <r>
    <x v="32"/>
    <x v="10"/>
    <n v="73"/>
    <n v="30.07402223525045"/>
  </r>
  <r>
    <x v="32"/>
    <x v="11"/>
    <n v="31"/>
    <n v="14.948545213835869"/>
  </r>
  <r>
    <x v="32"/>
    <x v="12"/>
    <n v="7"/>
    <n v="3.7753222416409722"/>
  </r>
  <r>
    <x v="32"/>
    <x v="13"/>
    <n v="2"/>
    <n v="2.6143441874516871"/>
  </r>
  <r>
    <x v="32"/>
    <x v="14"/>
    <n v="65"/>
    <n v="30.246094038913199"/>
  </r>
  <r>
    <x v="32"/>
    <x v="15"/>
    <n v="58"/>
    <n v="18.35231942365731"/>
  </r>
  <r>
    <x v="32"/>
    <x v="16"/>
    <n v="88"/>
    <n v="36.200312623362187"/>
  </r>
  <r>
    <x v="33"/>
    <x v="21"/>
    <n v="1"/>
    <n v="0.86943763938928953"/>
  </r>
  <r>
    <x v="33"/>
    <x v="0"/>
    <n v="7"/>
    <n v="3.039915663843864"/>
  </r>
  <r>
    <x v="33"/>
    <x v="1"/>
    <n v="32"/>
    <n v="21.209144306808241"/>
  </r>
  <r>
    <x v="33"/>
    <x v="2"/>
    <n v="78"/>
    <n v="33.449821908652012"/>
  </r>
  <r>
    <x v="33"/>
    <x v="3"/>
    <n v="107"/>
    <n v="50.743800994464422"/>
  </r>
  <r>
    <x v="33"/>
    <x v="4"/>
    <n v="101"/>
    <n v="50.1056341902257"/>
  </r>
  <r>
    <x v="33"/>
    <x v="5"/>
    <n v="66"/>
    <n v="32.35589820225826"/>
  </r>
  <r>
    <x v="33"/>
    <x v="6"/>
    <n v="39"/>
    <n v="23.41998858547343"/>
  </r>
  <r>
    <x v="33"/>
    <x v="7"/>
    <n v="8"/>
    <n v="6.8330173370570648"/>
  </r>
  <r>
    <x v="33"/>
    <x v="8"/>
    <n v="51"/>
    <n v="21.36453744653047"/>
  </r>
  <r>
    <x v="33"/>
    <x v="9"/>
    <n v="93"/>
    <n v="31.33381756568318"/>
  </r>
  <r>
    <x v="33"/>
    <x v="10"/>
    <n v="93"/>
    <n v="34.985966861486162"/>
  </r>
  <r>
    <x v="33"/>
    <x v="11"/>
    <n v="55"/>
    <n v="25.287630349743779"/>
  </r>
  <r>
    <x v="33"/>
    <x v="12"/>
    <n v="4"/>
    <n v="4.2894392485800621"/>
  </r>
  <r>
    <x v="33"/>
    <x v="13"/>
    <n v="1"/>
    <n v="1.444593506049191"/>
  </r>
  <r>
    <x v="33"/>
    <x v="14"/>
    <n v="65"/>
    <n v="21.877413417819469"/>
  </r>
  <r>
    <x v="33"/>
    <x v="15"/>
    <n v="76"/>
    <n v="22.578539624223229"/>
  </r>
  <r>
    <x v="33"/>
    <x v="16"/>
    <n v="80"/>
    <n v="40.019422049008341"/>
  </r>
  <r>
    <x v="34"/>
    <x v="0"/>
    <n v="1"/>
    <n v="2.7169803439986091"/>
  </r>
  <r>
    <x v="34"/>
    <x v="1"/>
    <n v="45"/>
    <n v="25.613052282970191"/>
  </r>
  <r>
    <x v="34"/>
    <x v="2"/>
    <n v="74"/>
    <n v="43.046629066102071"/>
  </r>
  <r>
    <x v="34"/>
    <x v="3"/>
    <n v="103"/>
    <n v="56.324005072580448"/>
  </r>
  <r>
    <x v="34"/>
    <x v="4"/>
    <n v="70"/>
    <n v="53.625244918392617"/>
  </r>
  <r>
    <x v="34"/>
    <x v="5"/>
    <n v="40"/>
    <n v="31.648134142667139"/>
  </r>
  <r>
    <x v="34"/>
    <x v="6"/>
    <n v="21"/>
    <n v="13.87941029240331"/>
  </r>
  <r>
    <x v="34"/>
    <x v="7"/>
    <n v="6"/>
    <n v="5.5063878154286936"/>
  </r>
  <r>
    <x v="34"/>
    <x v="8"/>
    <n v="42"/>
    <n v="28.713193922931211"/>
  </r>
  <r>
    <x v="34"/>
    <x v="9"/>
    <n v="67"/>
    <n v="42.618058879297941"/>
  </r>
  <r>
    <x v="34"/>
    <x v="10"/>
    <n v="88"/>
    <n v="54.089898978943161"/>
  </r>
  <r>
    <x v="34"/>
    <x v="11"/>
    <n v="35"/>
    <n v="24.33226235705401"/>
  </r>
  <r>
    <x v="34"/>
    <x v="12"/>
    <n v="7"/>
    <n v="7.0975155151314873"/>
  </r>
  <r>
    <x v="34"/>
    <x v="13"/>
    <n v="4"/>
    <n v="4.3657312465354572"/>
  </r>
  <r>
    <x v="34"/>
    <x v="14"/>
    <n v="58"/>
    <n v="31.107656356135859"/>
  </r>
  <r>
    <x v="34"/>
    <x v="15"/>
    <n v="64"/>
    <n v="51.66183700922484"/>
  </r>
  <r>
    <x v="34"/>
    <x v="16"/>
    <n v="60"/>
    <n v="25.83620714563267"/>
  </r>
  <r>
    <x v="35"/>
    <x v="0"/>
    <n v="2"/>
    <n v="3.2274913070811011"/>
  </r>
  <r>
    <x v="35"/>
    <x v="1"/>
    <n v="25"/>
    <n v="16.3062746677276"/>
  </r>
  <r>
    <x v="35"/>
    <x v="2"/>
    <n v="37"/>
    <n v="17.47449492222016"/>
  </r>
  <r>
    <x v="35"/>
    <x v="3"/>
    <n v="61"/>
    <n v="25.102402134086109"/>
  </r>
  <r>
    <x v="35"/>
    <x v="4"/>
    <n v="40"/>
    <n v="30.597354235063499"/>
  </r>
  <r>
    <x v="35"/>
    <x v="5"/>
    <n v="46"/>
    <n v="35.634300076335549"/>
  </r>
  <r>
    <x v="35"/>
    <x v="6"/>
    <n v="19"/>
    <n v="13.974206546182209"/>
  </r>
  <r>
    <x v="35"/>
    <x v="7"/>
    <n v="4"/>
    <n v="5.200840622563125"/>
  </r>
  <r>
    <x v="35"/>
    <x v="8"/>
    <n v="41"/>
    <n v="37.420691664835807"/>
  </r>
  <r>
    <x v="35"/>
    <x v="9"/>
    <n v="55"/>
    <n v="31.42914363857048"/>
  </r>
  <r>
    <x v="35"/>
    <x v="10"/>
    <n v="73"/>
    <n v="53.738086507027433"/>
  </r>
  <r>
    <x v="35"/>
    <x v="11"/>
    <n v="24"/>
    <n v="19.522064001158402"/>
  </r>
  <r>
    <x v="35"/>
    <x v="12"/>
    <n v="2"/>
    <n v="3.66570743012075"/>
  </r>
  <r>
    <x v="35"/>
    <x v="13"/>
    <n v="1"/>
    <n v="3.024329283342766"/>
  </r>
  <r>
    <x v="35"/>
    <x v="14"/>
    <n v="48"/>
    <n v="37.08762331822232"/>
  </r>
  <r>
    <x v="35"/>
    <x v="15"/>
    <n v="58"/>
    <n v="41.371665787002748"/>
  </r>
  <r>
    <x v="35"/>
    <x v="16"/>
    <n v="67"/>
    <n v="40.257092819678782"/>
  </r>
  <r>
    <x v="36"/>
    <x v="1"/>
    <n v="18"/>
    <n v="12.554663066511759"/>
  </r>
  <r>
    <x v="36"/>
    <x v="2"/>
    <n v="44"/>
    <n v="35.672743015560989"/>
  </r>
  <r>
    <x v="36"/>
    <x v="3"/>
    <n v="47"/>
    <n v="41.7077946984571"/>
  </r>
  <r>
    <x v="36"/>
    <x v="4"/>
    <n v="74"/>
    <n v="61.942440956861716"/>
  </r>
  <r>
    <x v="36"/>
    <x v="5"/>
    <n v="41"/>
    <n v="31.1016859551466"/>
  </r>
  <r>
    <x v="36"/>
    <x v="6"/>
    <n v="14"/>
    <n v="16.366987741273402"/>
  </r>
  <r>
    <x v="36"/>
    <x v="7"/>
    <n v="7"/>
    <n v="9.0941122299423256"/>
  </r>
  <r>
    <x v="36"/>
    <x v="8"/>
    <n v="38"/>
    <n v="31.109444389312241"/>
  </r>
  <r>
    <x v="36"/>
    <x v="9"/>
    <n v="59"/>
    <n v="46.107264141781577"/>
  </r>
  <r>
    <x v="36"/>
    <x v="10"/>
    <n v="69"/>
    <n v="81.959432855473437"/>
  </r>
  <r>
    <x v="36"/>
    <x v="11"/>
    <n v="25"/>
    <n v="20.650904258756992"/>
  </r>
  <r>
    <x v="36"/>
    <x v="12"/>
    <n v="6"/>
    <n v="5.6118645444038746"/>
  </r>
  <r>
    <x v="36"/>
    <x v="13"/>
    <n v="4"/>
    <n v="9.2112381722085672"/>
  </r>
  <r>
    <x v="36"/>
    <x v="14"/>
    <n v="63"/>
    <n v="79.160938454659941"/>
  </r>
  <r>
    <x v="36"/>
    <x v="15"/>
    <n v="67"/>
    <n v="105.0183655199415"/>
  </r>
  <r>
    <x v="36"/>
    <x v="16"/>
    <n v="68"/>
    <n v="90.15734417292947"/>
  </r>
  <r>
    <x v="37"/>
    <x v="1"/>
    <n v="11"/>
    <n v="9.4306524438510504"/>
  </r>
  <r>
    <x v="37"/>
    <x v="3"/>
    <n v="26"/>
    <n v="12.011158124017321"/>
  </r>
  <r>
    <x v="37"/>
    <x v="4"/>
    <n v="35"/>
    <n v="17.327094324329089"/>
  </r>
  <r>
    <x v="37"/>
    <x v="5"/>
    <n v="12"/>
    <n v="5.5566051924494992"/>
  </r>
  <r>
    <x v="37"/>
    <x v="6"/>
    <n v="10"/>
    <n v="5.4610749528547569"/>
  </r>
  <r>
    <x v="37"/>
    <x v="22"/>
    <n v="1"/>
    <n v="2.6539806782346749"/>
  </r>
  <r>
    <x v="37"/>
    <x v="7"/>
    <n v="1"/>
    <n v="3.0231122735888469"/>
  </r>
  <r>
    <x v="38"/>
    <x v="4"/>
    <n v="52"/>
    <n v="20.397181381322241"/>
  </r>
  <r>
    <x v="38"/>
    <x v="5"/>
    <n v="26"/>
    <n v="17.02614449630671"/>
  </r>
  <r>
    <x v="38"/>
    <x v="6"/>
    <n v="19"/>
    <n v="14.17270615309983"/>
  </r>
  <r>
    <x v="38"/>
    <x v="7"/>
    <n v="4"/>
    <n v="5.6069533186848526"/>
  </r>
  <r>
    <x v="38"/>
    <x v="8"/>
    <n v="20"/>
    <n v="13.882317150697681"/>
  </r>
  <r>
    <x v="38"/>
    <x v="9"/>
    <n v="56"/>
    <n v="30.825674262907039"/>
  </r>
  <r>
    <x v="38"/>
    <x v="10"/>
    <n v="75"/>
    <n v="52.49933098184372"/>
  </r>
  <r>
    <x v="38"/>
    <x v="12"/>
    <n v="6"/>
    <n v="3.7426609835903379"/>
  </r>
  <r>
    <x v="38"/>
    <x v="13"/>
    <n v="2"/>
    <n v="2.913032228041641"/>
  </r>
  <r>
    <x v="38"/>
    <x v="14"/>
    <n v="52"/>
    <n v="42.046659025857053"/>
  </r>
  <r>
    <x v="38"/>
    <x v="15"/>
    <n v="51"/>
    <n v="37.425969788791647"/>
  </r>
  <r>
    <x v="38"/>
    <x v="16"/>
    <n v="51"/>
    <n v="42.707402943243352"/>
  </r>
  <r>
    <x v="39"/>
    <x v="6"/>
    <n v="6"/>
    <n v="2.3797257312762761"/>
  </r>
  <r>
    <x v="39"/>
    <x v="7"/>
    <n v="3"/>
    <n v="1.6795202144573591"/>
  </r>
  <r>
    <x v="39"/>
    <x v="8"/>
    <n v="39"/>
    <n v="34.043790146351057"/>
  </r>
  <r>
    <x v="39"/>
    <x v="9"/>
    <n v="41"/>
    <n v="13.99913941381805"/>
  </r>
  <r>
    <x v="39"/>
    <x v="10"/>
    <n v="47"/>
    <n v="18.381076778735071"/>
  </r>
  <r>
    <x v="39"/>
    <x v="11"/>
    <n v="17"/>
    <n v="5.5554631534623606"/>
  </r>
  <r>
    <x v="39"/>
    <x v="12"/>
    <n v="7"/>
    <n v="2.4272188162041219"/>
  </r>
  <r>
    <x v="40"/>
    <x v="9"/>
    <n v="28"/>
    <n v="13.61120888833336"/>
  </r>
  <r>
    <x v="40"/>
    <x v="10"/>
    <n v="39"/>
    <n v="22.637414960253398"/>
  </r>
  <r>
    <x v="40"/>
    <x v="11"/>
    <n v="22"/>
    <n v="12.177215023618301"/>
  </r>
  <r>
    <x v="40"/>
    <x v="12"/>
    <n v="8"/>
    <n v="4.7712682951481149"/>
  </r>
  <r>
    <x v="40"/>
    <x v="14"/>
    <n v="30"/>
    <n v="12.275626516127369"/>
  </r>
  <r>
    <x v="40"/>
    <x v="15"/>
    <n v="63"/>
    <n v="31.007501535726679"/>
  </r>
  <r>
    <x v="40"/>
    <x v="16"/>
    <n v="62"/>
    <n v="30.8876888830886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B3EBC-14C7-4FAB-BF5B-B660E0644095}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3" firstHeaderRow="1" firstDataRow="1" firstDataCol="1" rowPageCount="1" colPageCount="1"/>
  <pivotFields count="4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multipleItemSelectionAllowed="1" showAll="0">
      <items count="24">
        <item h="1" x="21"/>
        <item h="1" x="0"/>
        <item h="1" x="1"/>
        <item h="1" x="2"/>
        <item h="1" x="3"/>
        <item h="1" x="4"/>
        <item h="1" x="5"/>
        <item h="1" x="6"/>
        <item h="1" x="22"/>
        <item h="1" x="18"/>
        <item h="1" x="7"/>
        <item h="1" x="8"/>
        <item h="1" x="9"/>
        <item h="1" x="10"/>
        <item h="1" x="11"/>
        <item h="1" x="12"/>
        <item h="1" x="20"/>
        <item h="1" x="17"/>
        <item h="1" x="19"/>
        <item h="1" x="13"/>
        <item h="1" x="14"/>
        <item h="1" x="15"/>
        <item x="16"/>
        <item t="default"/>
      </items>
    </pivotField>
    <pivotField dataField="1"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 t="grand">
      <x/>
    </i>
  </rowItems>
  <colItems count="1">
    <i/>
  </colItems>
  <pageFields count="1">
    <pageField fld="1" hier="-1"/>
  </pageFields>
  <dataFields count="1">
    <dataField name="Sum of total_awb_haria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6BFC0-8CFB-499E-ABAC-3ADB01F8CD8D}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D26" firstHeaderRow="0" firstDataRow="1" firstDataCol="1"/>
  <pivotFields count="4">
    <pivotField dataFiel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showAll="0">
      <items count="24">
        <item x="21"/>
        <item x="0"/>
        <item x="1"/>
        <item x="2"/>
        <item x="3"/>
        <item x="4"/>
        <item x="5"/>
        <item x="6"/>
        <item x="22"/>
        <item x="18"/>
        <item x="7"/>
        <item x="8"/>
        <item x="9"/>
        <item x="10"/>
        <item x="11"/>
        <item x="12"/>
        <item x="20"/>
        <item x="17"/>
        <item x="19"/>
        <item x="13"/>
        <item x="14"/>
        <item x="15"/>
        <item x="16"/>
        <item t="default"/>
      </items>
    </pivotField>
    <pivotField dataField="1"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205_id" fld="0" subtotal="count" baseField="1" baseItem="0"/>
    <dataField name="Sum of total_awb_harian" fld="2" baseField="0" baseItem="0"/>
    <dataField name="Average of total_distance_km" fld="3" subtotal="average" baseField="1" baseItem="0"/>
  </dataFields>
  <formats count="6">
    <format dxfId="0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1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2">
      <pivotArea collapsedLevelsAreSubtotals="1" fieldPosition="0">
        <references count="1">
          <reference field="1" count="2">
            <x v="12"/>
            <x v="13"/>
          </reference>
        </references>
      </pivotArea>
    </format>
    <format dxfId="3">
      <pivotArea dataOnly="0" labelOnly="1" fieldPosition="0">
        <references count="1">
          <reference field="1" count="2">
            <x v="12"/>
            <x v="13"/>
          </reference>
        </references>
      </pivotArea>
    </format>
    <format dxfId="4">
      <pivotArea collapsedLevelsAreSubtotals="1" fieldPosition="0">
        <references count="1">
          <reference field="1" count="1">
            <x v="22"/>
          </reference>
        </references>
      </pivotArea>
    </format>
    <format dxfId="5">
      <pivotArea dataOnly="0" labelOnly="1" fieldPosition="0">
        <references count="1">
          <reference field="1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076F9-C55C-451E-8131-7DFF3FC26389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5" firstHeaderRow="0" firstDataRow="1" firstDataCol="1"/>
  <pivotFields count="4">
    <pivotField axis="axisRow" showAll="0" sortType="descending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0"/>
  </rowFields>
  <rowItems count="42">
    <i>
      <x v="31"/>
    </i>
    <i>
      <x v="22"/>
    </i>
    <i>
      <x v="16"/>
    </i>
    <i>
      <x v="36"/>
    </i>
    <i>
      <x v="5"/>
    </i>
    <i>
      <x v="23"/>
    </i>
    <i>
      <x v="20"/>
    </i>
    <i>
      <x v="1"/>
    </i>
    <i>
      <x v="10"/>
    </i>
    <i>
      <x v="24"/>
    </i>
    <i>
      <x v="26"/>
    </i>
    <i>
      <x v="15"/>
    </i>
    <i>
      <x v="17"/>
    </i>
    <i>
      <x v="8"/>
    </i>
    <i>
      <x v="9"/>
    </i>
    <i>
      <x v="34"/>
    </i>
    <i>
      <x v="19"/>
    </i>
    <i>
      <x v="25"/>
    </i>
    <i>
      <x v="7"/>
    </i>
    <i>
      <x/>
    </i>
    <i>
      <x v="4"/>
    </i>
    <i>
      <x v="14"/>
    </i>
    <i>
      <x v="2"/>
    </i>
    <i>
      <x v="6"/>
    </i>
    <i>
      <x v="33"/>
    </i>
    <i>
      <x v="28"/>
    </i>
    <i>
      <x v="12"/>
    </i>
    <i>
      <x v="27"/>
    </i>
    <i>
      <x v="35"/>
    </i>
    <i>
      <x v="11"/>
    </i>
    <i>
      <x v="13"/>
    </i>
    <i>
      <x v="21"/>
    </i>
    <i>
      <x v="30"/>
    </i>
    <i>
      <x v="32"/>
    </i>
    <i>
      <x v="3"/>
    </i>
    <i>
      <x v="38"/>
    </i>
    <i>
      <x v="29"/>
    </i>
    <i>
      <x v="18"/>
    </i>
    <i>
      <x v="40"/>
    </i>
    <i>
      <x v="39"/>
    </i>
    <i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205_dt" fld="1" subtotal="count" baseField="0" baseItem="0"/>
    <dataField name="Sum of total_awb_harian" fld="2" baseField="0" baseItem="0"/>
    <dataField name="Sum of total_distance_km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CD010-E5DB-46BD-A004-8CD073C51B46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D26" firstHeaderRow="0" firstDataRow="1" firstDataCol="1"/>
  <pivotFields count="4">
    <pivotField dataFiel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showAll="0">
      <items count="24">
        <item x="21"/>
        <item x="0"/>
        <item x="1"/>
        <item x="2"/>
        <item x="3"/>
        <item x="4"/>
        <item x="5"/>
        <item x="6"/>
        <item x="22"/>
        <item x="18"/>
        <item x="7"/>
        <item x="8"/>
        <item x="9"/>
        <item x="10"/>
        <item x="11"/>
        <item x="12"/>
        <item x="20"/>
        <item x="17"/>
        <item x="19"/>
        <item x="13"/>
        <item x="14"/>
        <item x="15"/>
        <item x="16"/>
        <item t="default"/>
      </items>
    </pivotField>
    <pivotField dataField="1"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Kurir" fld="0" subtotal="count" baseField="1" baseItem="3"/>
    <dataField name="Sum of total_awb_harian" fld="2" baseField="0" baseItem="0"/>
    <dataField name="Average of total_distance_km" fld="3" subtotal="average" baseField="0" baseItem="1953018073"/>
  </dataFields>
  <formats count="6">
    <format dxfId="17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16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15">
      <pivotArea collapsedLevelsAreSubtotals="1" fieldPosition="0">
        <references count="1">
          <reference field="1" count="2">
            <x v="12"/>
            <x v="13"/>
          </reference>
        </references>
      </pivotArea>
    </format>
    <format dxfId="14">
      <pivotArea dataOnly="0" labelOnly="1" fieldPosition="0">
        <references count="1">
          <reference field="1" count="2">
            <x v="12"/>
            <x v="13"/>
          </reference>
        </references>
      </pivotArea>
    </format>
    <format dxfId="13">
      <pivotArea collapsedLevelsAreSubtotals="1" fieldPosition="0">
        <references count="1">
          <reference field="1" count="1">
            <x v="22"/>
          </reference>
        </references>
      </pivotArea>
    </format>
    <format dxfId="12">
      <pivotArea dataOnly="0" labelOnly="1" fieldPosition="0">
        <references count="1">
          <reference field="1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9D2-00A1-4512-8C2E-65DC93EF1797}">
  <dimension ref="A1:B43"/>
  <sheetViews>
    <sheetView topLeftCell="A16" workbookViewId="0">
      <selection activeCell="A3" sqref="A3:B42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1" spans="1:2" x14ac:dyDescent="0.25">
      <c r="A1" s="2" t="s">
        <v>1</v>
      </c>
      <c r="B1" t="s">
        <v>20</v>
      </c>
    </row>
    <row r="3" spans="1:2" x14ac:dyDescent="0.25">
      <c r="A3" s="2" t="s">
        <v>27</v>
      </c>
      <c r="B3" t="s">
        <v>29</v>
      </c>
    </row>
    <row r="4" spans="1:2" x14ac:dyDescent="0.25">
      <c r="A4" s="3">
        <v>10001245</v>
      </c>
      <c r="B4" s="4">
        <v>84</v>
      </c>
    </row>
    <row r="5" spans="1:2" x14ac:dyDescent="0.25">
      <c r="A5" s="3">
        <v>10003936</v>
      </c>
      <c r="B5" s="4">
        <v>101</v>
      </c>
    </row>
    <row r="6" spans="1:2" x14ac:dyDescent="0.25">
      <c r="A6" s="3">
        <v>10006503</v>
      </c>
      <c r="B6" s="4">
        <v>83</v>
      </c>
    </row>
    <row r="7" spans="1:2" x14ac:dyDescent="0.25">
      <c r="A7" s="3">
        <v>10009662</v>
      </c>
      <c r="B7" s="4">
        <v>134</v>
      </c>
    </row>
    <row r="8" spans="1:2" x14ac:dyDescent="0.25">
      <c r="A8" s="3">
        <v>10011641</v>
      </c>
      <c r="B8" s="4">
        <v>74</v>
      </c>
    </row>
    <row r="9" spans="1:2" x14ac:dyDescent="0.25">
      <c r="A9" s="3">
        <v>10014010</v>
      </c>
      <c r="B9" s="4">
        <v>81</v>
      </c>
    </row>
    <row r="10" spans="1:2" x14ac:dyDescent="0.25">
      <c r="A10" s="3">
        <v>10014255</v>
      </c>
      <c r="B10" s="4">
        <v>82</v>
      </c>
    </row>
    <row r="11" spans="1:2" x14ac:dyDescent="0.25">
      <c r="A11" s="3">
        <v>10014704</v>
      </c>
      <c r="B11" s="4">
        <v>90</v>
      </c>
    </row>
    <row r="12" spans="1:2" x14ac:dyDescent="0.25">
      <c r="A12" s="3">
        <v>10024737</v>
      </c>
      <c r="B12" s="4">
        <v>96</v>
      </c>
    </row>
    <row r="13" spans="1:2" x14ac:dyDescent="0.25">
      <c r="A13" s="3">
        <v>10024880</v>
      </c>
      <c r="B13" s="4">
        <v>109</v>
      </c>
    </row>
    <row r="14" spans="1:2" x14ac:dyDescent="0.25">
      <c r="A14" s="3">
        <v>10025537</v>
      </c>
      <c r="B14" s="4">
        <v>89</v>
      </c>
    </row>
    <row r="15" spans="1:2" x14ac:dyDescent="0.25">
      <c r="A15" s="3">
        <v>10025538</v>
      </c>
      <c r="B15" s="4">
        <v>94</v>
      </c>
    </row>
    <row r="16" spans="1:2" x14ac:dyDescent="0.25">
      <c r="A16" s="3">
        <v>10029570</v>
      </c>
      <c r="B16" s="4">
        <v>89</v>
      </c>
    </row>
    <row r="17" spans="1:2" x14ac:dyDescent="0.25">
      <c r="A17" s="3">
        <v>10031843</v>
      </c>
      <c r="B17" s="4">
        <v>74</v>
      </c>
    </row>
    <row r="18" spans="1:2" x14ac:dyDescent="0.25">
      <c r="A18" s="3">
        <v>10031844</v>
      </c>
      <c r="B18" s="4">
        <v>70</v>
      </c>
    </row>
    <row r="19" spans="1:2" x14ac:dyDescent="0.25">
      <c r="A19" s="3">
        <v>10031845</v>
      </c>
      <c r="B19" s="4">
        <v>94</v>
      </c>
    </row>
    <row r="20" spans="1:2" x14ac:dyDescent="0.25">
      <c r="A20" s="3">
        <v>10035125</v>
      </c>
      <c r="B20" s="4">
        <v>102</v>
      </c>
    </row>
    <row r="21" spans="1:2" x14ac:dyDescent="0.25">
      <c r="A21" s="3">
        <v>10038027</v>
      </c>
      <c r="B21" s="4">
        <v>110</v>
      </c>
    </row>
    <row r="22" spans="1:2" x14ac:dyDescent="0.25">
      <c r="A22" s="3">
        <v>10046352</v>
      </c>
      <c r="B22" s="4">
        <v>67</v>
      </c>
    </row>
    <row r="23" spans="1:2" x14ac:dyDescent="0.25">
      <c r="A23" s="3">
        <v>10046795</v>
      </c>
      <c r="B23" s="4">
        <v>95</v>
      </c>
    </row>
    <row r="24" spans="1:2" x14ac:dyDescent="0.25">
      <c r="A24" s="3">
        <v>10047909</v>
      </c>
      <c r="B24" s="4">
        <v>65</v>
      </c>
    </row>
    <row r="25" spans="1:2" x14ac:dyDescent="0.25">
      <c r="A25" s="3">
        <v>10052254</v>
      </c>
      <c r="B25" s="4">
        <v>61</v>
      </c>
    </row>
    <row r="26" spans="1:2" x14ac:dyDescent="0.25">
      <c r="A26" s="3">
        <v>10053112</v>
      </c>
      <c r="B26" s="4">
        <v>77</v>
      </c>
    </row>
    <row r="27" spans="1:2" x14ac:dyDescent="0.25">
      <c r="A27" s="3">
        <v>10055658</v>
      </c>
      <c r="B27" s="4">
        <v>66</v>
      </c>
    </row>
    <row r="28" spans="1:2" x14ac:dyDescent="0.25">
      <c r="A28" s="3">
        <v>10062125</v>
      </c>
      <c r="B28" s="4">
        <v>118</v>
      </c>
    </row>
    <row r="29" spans="1:2" x14ac:dyDescent="0.25">
      <c r="A29" s="3">
        <v>10064690</v>
      </c>
      <c r="B29" s="4">
        <v>78</v>
      </c>
    </row>
    <row r="30" spans="1:2" x14ac:dyDescent="0.25">
      <c r="A30" s="3">
        <v>10068449</v>
      </c>
      <c r="B30" s="4">
        <v>97</v>
      </c>
    </row>
    <row r="31" spans="1:2" x14ac:dyDescent="0.25">
      <c r="A31" s="3">
        <v>10072594</v>
      </c>
      <c r="B31" s="4">
        <v>86</v>
      </c>
    </row>
    <row r="32" spans="1:2" x14ac:dyDescent="0.25">
      <c r="A32" s="3">
        <v>10072947</v>
      </c>
      <c r="B32" s="4">
        <v>97</v>
      </c>
    </row>
    <row r="33" spans="1:2" x14ac:dyDescent="0.25">
      <c r="A33" s="3">
        <v>10073494</v>
      </c>
      <c r="B33" s="4">
        <v>80</v>
      </c>
    </row>
    <row r="34" spans="1:2" x14ac:dyDescent="0.25">
      <c r="A34" s="3">
        <v>10073889</v>
      </c>
      <c r="B34" s="4">
        <v>80</v>
      </c>
    </row>
    <row r="35" spans="1:2" x14ac:dyDescent="0.25">
      <c r="A35" s="3">
        <v>10074145</v>
      </c>
      <c r="B35" s="4">
        <v>87</v>
      </c>
    </row>
    <row r="36" spans="1:2" x14ac:dyDescent="0.25">
      <c r="A36" s="3">
        <v>10076349</v>
      </c>
      <c r="B36" s="4">
        <v>88</v>
      </c>
    </row>
    <row r="37" spans="1:2" x14ac:dyDescent="0.25">
      <c r="A37" s="3">
        <v>10078132</v>
      </c>
      <c r="B37" s="4">
        <v>80</v>
      </c>
    </row>
    <row r="38" spans="1:2" x14ac:dyDescent="0.25">
      <c r="A38" s="3">
        <v>10079995</v>
      </c>
      <c r="B38" s="4">
        <v>60</v>
      </c>
    </row>
    <row r="39" spans="1:2" x14ac:dyDescent="0.25">
      <c r="A39" s="3">
        <v>10080481</v>
      </c>
      <c r="B39" s="4">
        <v>67</v>
      </c>
    </row>
    <row r="40" spans="1:2" x14ac:dyDescent="0.25">
      <c r="A40" s="3">
        <v>10080492</v>
      </c>
      <c r="B40" s="4">
        <v>68</v>
      </c>
    </row>
    <row r="41" spans="1:2" x14ac:dyDescent="0.25">
      <c r="A41" s="3">
        <v>10080596</v>
      </c>
      <c r="B41" s="4">
        <v>51</v>
      </c>
    </row>
    <row r="42" spans="1:2" x14ac:dyDescent="0.25">
      <c r="A42" s="3">
        <v>10080747</v>
      </c>
      <c r="B42" s="4">
        <v>62</v>
      </c>
    </row>
    <row r="43" spans="1:2" x14ac:dyDescent="0.25">
      <c r="A43" s="3" t="s">
        <v>28</v>
      </c>
      <c r="B43" s="4">
        <v>3286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87F9-F0B4-48DF-B526-64D8EFC8A869}">
  <dimension ref="A2:S73"/>
  <sheetViews>
    <sheetView tabSelected="1" workbookViewId="0">
      <selection activeCell="I9" sqref="I9"/>
    </sheetView>
  </sheetViews>
  <sheetFormatPr defaultRowHeight="15" x14ac:dyDescent="0.25"/>
  <cols>
    <col min="1" max="1" width="19.85546875" bestFit="1" customWidth="1"/>
    <col min="2" max="2" width="14.85546875" bestFit="1" customWidth="1"/>
    <col min="3" max="3" width="23.42578125" bestFit="1" customWidth="1"/>
    <col min="4" max="4" width="29.85546875" customWidth="1"/>
    <col min="5" max="5" width="10.85546875" bestFit="1" customWidth="1"/>
    <col min="6" max="6" width="23.42578125" bestFit="1" customWidth="1"/>
    <col min="9" max="9" width="9.42578125" bestFit="1" customWidth="1"/>
    <col min="13" max="13" width="10.85546875" bestFit="1" customWidth="1"/>
    <col min="14" max="14" width="23.42578125" bestFit="1" customWidth="1"/>
    <col min="17" max="17" width="9.42578125" bestFit="1" customWidth="1"/>
    <col min="18" max="18" width="16.5703125" customWidth="1"/>
  </cols>
  <sheetData>
    <row r="2" spans="1:7" ht="18.75" x14ac:dyDescent="0.3">
      <c r="A2" s="2" t="s">
        <v>27</v>
      </c>
      <c r="B2" t="s">
        <v>33</v>
      </c>
      <c r="C2" t="s">
        <v>29</v>
      </c>
      <c r="D2" t="s">
        <v>34</v>
      </c>
      <c r="F2" s="11" t="s">
        <v>40</v>
      </c>
      <c r="G2" s="12">
        <f>(B70+F70+J73+N72+R72)/5</f>
        <v>16.865398165637252</v>
      </c>
    </row>
    <row r="3" spans="1:7" x14ac:dyDescent="0.25">
      <c r="A3" s="3" t="s">
        <v>25</v>
      </c>
      <c r="B3" s="4">
        <v>2</v>
      </c>
      <c r="C3" s="4">
        <v>2</v>
      </c>
      <c r="D3" s="4">
        <v>2.8650753483456879</v>
      </c>
    </row>
    <row r="4" spans="1:7" x14ac:dyDescent="0.25">
      <c r="A4" s="3" t="s">
        <v>4</v>
      </c>
      <c r="B4" s="4">
        <v>33</v>
      </c>
      <c r="C4" s="4">
        <v>103</v>
      </c>
      <c r="D4" s="4">
        <v>3.9593215387067451</v>
      </c>
    </row>
    <row r="5" spans="1:7" x14ac:dyDescent="0.25">
      <c r="A5" s="3" t="s">
        <v>5</v>
      </c>
      <c r="B5" s="4">
        <v>35</v>
      </c>
      <c r="C5" s="4">
        <v>1243</v>
      </c>
      <c r="D5" s="4">
        <v>23.859197406172427</v>
      </c>
    </row>
    <row r="6" spans="1:7" x14ac:dyDescent="0.25">
      <c r="A6" s="3" t="s">
        <v>6</v>
      </c>
      <c r="B6" s="4">
        <v>33</v>
      </c>
      <c r="C6" s="4">
        <v>2649</v>
      </c>
      <c r="D6" s="4">
        <v>46.414215339600659</v>
      </c>
    </row>
    <row r="7" spans="1:7" x14ac:dyDescent="0.25">
      <c r="A7" s="7" t="s">
        <v>7</v>
      </c>
      <c r="B7" s="8">
        <v>37</v>
      </c>
      <c r="C7" s="8">
        <v>3773</v>
      </c>
      <c r="D7" s="8">
        <v>50.419868716772477</v>
      </c>
    </row>
    <row r="8" spans="1:7" x14ac:dyDescent="0.25">
      <c r="A8" s="7" t="s">
        <v>8</v>
      </c>
      <c r="B8" s="8">
        <v>37</v>
      </c>
      <c r="C8" s="8">
        <v>3005</v>
      </c>
      <c r="D8" s="8">
        <v>44.762473658203021</v>
      </c>
    </row>
    <row r="9" spans="1:7" x14ac:dyDescent="0.25">
      <c r="A9" s="3" t="s">
        <v>9</v>
      </c>
      <c r="B9" s="4">
        <v>39</v>
      </c>
      <c r="C9" s="4">
        <v>2272</v>
      </c>
      <c r="D9" s="4">
        <v>33.085821379379027</v>
      </c>
    </row>
    <row r="10" spans="1:7" x14ac:dyDescent="0.25">
      <c r="A10" s="3" t="s">
        <v>10</v>
      </c>
      <c r="B10" s="4">
        <v>40</v>
      </c>
      <c r="C10" s="4">
        <v>1012</v>
      </c>
      <c r="D10" s="4">
        <v>15.885232193425619</v>
      </c>
    </row>
    <row r="11" spans="1:7" x14ac:dyDescent="0.25">
      <c r="A11" s="3" t="s">
        <v>26</v>
      </c>
      <c r="B11" s="4">
        <v>1</v>
      </c>
      <c r="C11" s="4">
        <v>1</v>
      </c>
      <c r="D11" s="4">
        <v>2.6539806782346749</v>
      </c>
    </row>
    <row r="12" spans="1:7" x14ac:dyDescent="0.25">
      <c r="A12" s="3" t="s">
        <v>22</v>
      </c>
      <c r="B12" s="4">
        <v>3</v>
      </c>
      <c r="C12" s="4">
        <v>3</v>
      </c>
      <c r="D12" s="4">
        <v>1.6229573812050735</v>
      </c>
    </row>
    <row r="13" spans="1:7" x14ac:dyDescent="0.25">
      <c r="A13" s="3" t="s">
        <v>11</v>
      </c>
      <c r="B13" s="4">
        <v>40</v>
      </c>
      <c r="C13" s="4">
        <v>279</v>
      </c>
      <c r="D13" s="4">
        <v>6.8353126501307218</v>
      </c>
    </row>
    <row r="14" spans="1:7" x14ac:dyDescent="0.25">
      <c r="A14" s="3" t="s">
        <v>12</v>
      </c>
      <c r="B14" s="4">
        <v>38</v>
      </c>
      <c r="C14" s="4">
        <v>1821</v>
      </c>
      <c r="D14" s="4">
        <v>29.39627924808423</v>
      </c>
    </row>
    <row r="15" spans="1:7" x14ac:dyDescent="0.25">
      <c r="A15" s="7" t="s">
        <v>13</v>
      </c>
      <c r="B15" s="8">
        <v>40</v>
      </c>
      <c r="C15" s="8">
        <v>3140</v>
      </c>
      <c r="D15" s="8">
        <v>38.506714860538501</v>
      </c>
    </row>
    <row r="16" spans="1:7" x14ac:dyDescent="0.25">
      <c r="A16" s="7" t="s">
        <v>14</v>
      </c>
      <c r="B16" s="8">
        <v>39</v>
      </c>
      <c r="C16" s="8">
        <v>3889</v>
      </c>
      <c r="D16" s="8">
        <v>54.384789219770795</v>
      </c>
    </row>
    <row r="17" spans="1:19" x14ac:dyDescent="0.25">
      <c r="A17" s="3" t="s">
        <v>15</v>
      </c>
      <c r="B17" s="4">
        <v>39</v>
      </c>
      <c r="C17" s="4">
        <v>1394</v>
      </c>
      <c r="D17" s="4">
        <v>21.800645018658727</v>
      </c>
    </row>
    <row r="18" spans="1:19" x14ac:dyDescent="0.25">
      <c r="A18" s="3" t="s">
        <v>16</v>
      </c>
      <c r="B18" s="4">
        <v>39</v>
      </c>
      <c r="C18" s="4">
        <v>277</v>
      </c>
      <c r="D18" s="4">
        <v>6.3458594779350532</v>
      </c>
    </row>
    <row r="19" spans="1:19" x14ac:dyDescent="0.25">
      <c r="A19" s="3" t="s">
        <v>24</v>
      </c>
      <c r="B19" s="4">
        <v>1</v>
      </c>
      <c r="C19" s="4">
        <v>1</v>
      </c>
      <c r="D19" s="4">
        <v>3.4545051302870071</v>
      </c>
    </row>
    <row r="20" spans="1:19" x14ac:dyDescent="0.25">
      <c r="A20" s="3" t="s">
        <v>21</v>
      </c>
      <c r="B20" s="4">
        <v>1</v>
      </c>
      <c r="C20" s="4">
        <v>1</v>
      </c>
      <c r="D20" s="4">
        <v>0.43429804578488568</v>
      </c>
    </row>
    <row r="21" spans="1:19" x14ac:dyDescent="0.25">
      <c r="A21" s="3" t="s">
        <v>23</v>
      </c>
      <c r="B21" s="4">
        <v>2</v>
      </c>
      <c r="C21" s="4">
        <v>2</v>
      </c>
      <c r="D21" s="4">
        <v>2.7939449756182539</v>
      </c>
    </row>
    <row r="22" spans="1:19" x14ac:dyDescent="0.25">
      <c r="A22" s="3" t="s">
        <v>17</v>
      </c>
      <c r="B22" s="4">
        <v>33</v>
      </c>
      <c r="C22" s="4">
        <v>109</v>
      </c>
      <c r="D22" s="4">
        <v>4.3579814490127369</v>
      </c>
    </row>
    <row r="23" spans="1:19" x14ac:dyDescent="0.25">
      <c r="A23" s="3" t="s">
        <v>18</v>
      </c>
      <c r="B23" s="4">
        <v>39</v>
      </c>
      <c r="C23" s="4">
        <v>2749</v>
      </c>
      <c r="D23" s="4">
        <v>36.95963924079836</v>
      </c>
    </row>
    <row r="24" spans="1:19" x14ac:dyDescent="0.25">
      <c r="A24" s="3" t="s">
        <v>19</v>
      </c>
      <c r="B24" s="4">
        <v>37</v>
      </c>
      <c r="C24" s="4">
        <v>2718</v>
      </c>
      <c r="D24" s="4">
        <v>42.16288013995419</v>
      </c>
    </row>
    <row r="25" spans="1:19" x14ac:dyDescent="0.25">
      <c r="A25" s="7" t="s">
        <v>20</v>
      </c>
      <c r="B25" s="8">
        <v>39</v>
      </c>
      <c r="C25" s="8">
        <v>3286</v>
      </c>
      <c r="D25" s="8">
        <v>44.140626027837882</v>
      </c>
    </row>
    <row r="26" spans="1:19" x14ac:dyDescent="0.25">
      <c r="A26" s="3" t="s">
        <v>28</v>
      </c>
      <c r="B26" s="4">
        <v>647</v>
      </c>
      <c r="C26" s="4">
        <v>33729</v>
      </c>
      <c r="D26" s="4">
        <v>29.341331959069016</v>
      </c>
    </row>
    <row r="29" spans="1:19" ht="18.75" x14ac:dyDescent="0.3">
      <c r="A29" s="9">
        <v>46231</v>
      </c>
      <c r="E29" s="9">
        <v>46232</v>
      </c>
      <c r="I29" s="9">
        <v>46240</v>
      </c>
      <c r="M29" s="9">
        <v>46241</v>
      </c>
      <c r="Q29" s="9">
        <v>46254</v>
      </c>
    </row>
    <row r="30" spans="1:19" x14ac:dyDescent="0.25">
      <c r="A30" s="5" t="s">
        <v>27</v>
      </c>
      <c r="B30" s="5" t="s">
        <v>29</v>
      </c>
      <c r="C30" s="5" t="s">
        <v>38</v>
      </c>
      <c r="E30" s="5" t="s">
        <v>27</v>
      </c>
      <c r="F30" s="5" t="s">
        <v>29</v>
      </c>
      <c r="G30" s="5" t="s">
        <v>38</v>
      </c>
      <c r="I30" s="5" t="s">
        <v>27</v>
      </c>
      <c r="J30" s="5" t="s">
        <v>29</v>
      </c>
      <c r="K30" s="5" t="s">
        <v>38</v>
      </c>
      <c r="M30" s="5" t="s">
        <v>27</v>
      </c>
      <c r="N30" s="5" t="s">
        <v>29</v>
      </c>
      <c r="O30" s="5" t="s">
        <v>38</v>
      </c>
      <c r="Q30" s="5" t="s">
        <v>27</v>
      </c>
      <c r="R30" s="5" t="s">
        <v>29</v>
      </c>
      <c r="S30" s="5" t="s">
        <v>38</v>
      </c>
    </row>
    <row r="31" spans="1:19" x14ac:dyDescent="0.25">
      <c r="A31" s="3">
        <v>10001245</v>
      </c>
      <c r="B31" s="4">
        <v>100</v>
      </c>
      <c r="C31">
        <f>ABS(B31-$B$68)</f>
        <v>1.9729729729729684</v>
      </c>
      <c r="E31" s="3">
        <v>10001245</v>
      </c>
      <c r="F31" s="4">
        <v>80</v>
      </c>
      <c r="G31">
        <f>ABS(F31-$F$68)</f>
        <v>1.2162162162162105</v>
      </c>
      <c r="I31" s="3">
        <v>10001245</v>
      </c>
      <c r="J31" s="4">
        <v>71</v>
      </c>
      <c r="K31">
        <f>ABS(J31-$J$71)</f>
        <v>7.5</v>
      </c>
      <c r="M31" s="3">
        <v>10001245</v>
      </c>
      <c r="N31" s="4">
        <v>88</v>
      </c>
      <c r="O31">
        <f>ABS(N31-$N$70)</f>
        <v>11.717948717948715</v>
      </c>
      <c r="Q31" s="3">
        <v>10001245</v>
      </c>
      <c r="R31" s="4">
        <v>84</v>
      </c>
      <c r="S31">
        <f>ABS(R31-$R$70)</f>
        <v>0.2564102564102626</v>
      </c>
    </row>
    <row r="32" spans="1:19" x14ac:dyDescent="0.25">
      <c r="A32" s="3">
        <v>10003936</v>
      </c>
      <c r="B32" s="4">
        <v>119</v>
      </c>
      <c r="C32">
        <f t="shared" ref="C32:C70" si="0">ABS(B32-$B$68)</f>
        <v>17.027027027027032</v>
      </c>
      <c r="E32" s="3">
        <v>10003936</v>
      </c>
      <c r="F32" s="4">
        <v>86</v>
      </c>
      <c r="G32">
        <f t="shared" ref="G32:G70" si="1">ABS(F32-$F$68)</f>
        <v>4.7837837837837895</v>
      </c>
      <c r="I32" s="3">
        <v>10003936</v>
      </c>
      <c r="J32" s="4">
        <v>100</v>
      </c>
      <c r="K32">
        <f t="shared" ref="K32:K73" si="2">ABS(J32-$J$71)</f>
        <v>21.5</v>
      </c>
      <c r="M32" s="3">
        <v>10003936</v>
      </c>
      <c r="N32" s="4">
        <v>122</v>
      </c>
      <c r="O32">
        <f t="shared" ref="O32:O72" si="3">ABS(N32-$N$70)</f>
        <v>22.282051282051285</v>
      </c>
      <c r="Q32" s="3">
        <v>10003936</v>
      </c>
      <c r="R32" s="4">
        <v>101</v>
      </c>
      <c r="S32">
        <f t="shared" ref="S32:S72" si="4">ABS(R32-$R$70)</f>
        <v>16.743589743589737</v>
      </c>
    </row>
    <row r="33" spans="1:19" x14ac:dyDescent="0.25">
      <c r="A33" s="3">
        <v>10006503</v>
      </c>
      <c r="B33" s="4">
        <v>82</v>
      </c>
      <c r="C33">
        <f t="shared" si="0"/>
        <v>19.972972972972968</v>
      </c>
      <c r="E33" s="3">
        <v>10006503</v>
      </c>
      <c r="F33" s="4">
        <v>102</v>
      </c>
      <c r="G33">
        <f t="shared" si="1"/>
        <v>20.78378378378379</v>
      </c>
      <c r="I33" s="3">
        <v>10006503</v>
      </c>
      <c r="J33" s="4">
        <v>95</v>
      </c>
      <c r="K33">
        <f t="shared" si="2"/>
        <v>16.5</v>
      </c>
      <c r="M33" s="3">
        <v>10006503</v>
      </c>
      <c r="N33" s="4">
        <v>111</v>
      </c>
      <c r="O33">
        <f t="shared" si="3"/>
        <v>11.282051282051285</v>
      </c>
      <c r="Q33" s="3">
        <v>10006503</v>
      </c>
      <c r="R33" s="4">
        <v>83</v>
      </c>
      <c r="S33">
        <f t="shared" si="4"/>
        <v>1.2564102564102626</v>
      </c>
    </row>
    <row r="34" spans="1:19" x14ac:dyDescent="0.25">
      <c r="A34" s="3">
        <v>10009662</v>
      </c>
      <c r="B34" s="4">
        <v>114</v>
      </c>
      <c r="C34">
        <f t="shared" si="0"/>
        <v>12.027027027027032</v>
      </c>
      <c r="E34" s="3">
        <v>10009662</v>
      </c>
      <c r="F34" s="4">
        <v>105</v>
      </c>
      <c r="G34">
        <f t="shared" si="1"/>
        <v>23.78378378378379</v>
      </c>
      <c r="I34" s="3">
        <v>10009662</v>
      </c>
      <c r="J34" s="4">
        <v>75</v>
      </c>
      <c r="K34">
        <f t="shared" si="2"/>
        <v>3.5</v>
      </c>
      <c r="M34" s="3">
        <v>10009662</v>
      </c>
      <c r="N34" s="4">
        <v>82</v>
      </c>
      <c r="O34">
        <f t="shared" si="3"/>
        <v>17.717948717948715</v>
      </c>
      <c r="Q34" s="3">
        <v>10009662</v>
      </c>
      <c r="R34" s="4">
        <v>134</v>
      </c>
      <c r="S34">
        <f t="shared" si="4"/>
        <v>49.743589743589737</v>
      </c>
    </row>
    <row r="35" spans="1:19" x14ac:dyDescent="0.25">
      <c r="A35" s="3">
        <v>10011641</v>
      </c>
      <c r="B35" s="4">
        <v>110</v>
      </c>
      <c r="C35">
        <f t="shared" si="0"/>
        <v>8.0270270270270316</v>
      </c>
      <c r="E35" s="3">
        <v>10011641</v>
      </c>
      <c r="F35" s="4">
        <v>92</v>
      </c>
      <c r="G35">
        <f t="shared" si="1"/>
        <v>10.78378378378379</v>
      </c>
      <c r="I35" s="3">
        <v>10011641</v>
      </c>
      <c r="J35" s="4">
        <v>123</v>
      </c>
      <c r="K35">
        <f t="shared" si="2"/>
        <v>44.5</v>
      </c>
      <c r="M35" s="3">
        <v>10011641</v>
      </c>
      <c r="N35" s="4">
        <v>141</v>
      </c>
      <c r="O35">
        <f t="shared" si="3"/>
        <v>41.282051282051285</v>
      </c>
      <c r="Q35" s="3">
        <v>10011641</v>
      </c>
      <c r="R35" s="4">
        <v>74</v>
      </c>
      <c r="S35">
        <f t="shared" si="4"/>
        <v>10.256410256410263</v>
      </c>
    </row>
    <row r="36" spans="1:19" x14ac:dyDescent="0.25">
      <c r="A36" s="3">
        <v>10014010</v>
      </c>
      <c r="B36" s="4">
        <v>103</v>
      </c>
      <c r="C36">
        <f t="shared" si="0"/>
        <v>1.0270270270270316</v>
      </c>
      <c r="E36" s="3">
        <v>10014010</v>
      </c>
      <c r="F36" s="4">
        <v>100</v>
      </c>
      <c r="G36">
        <f t="shared" si="1"/>
        <v>18.78378378378379</v>
      </c>
      <c r="I36" s="3">
        <v>10014010</v>
      </c>
      <c r="J36" s="4">
        <v>87</v>
      </c>
      <c r="K36">
        <f t="shared" si="2"/>
        <v>8.5</v>
      </c>
      <c r="M36" s="3">
        <v>10014010</v>
      </c>
      <c r="N36" s="4">
        <v>85</v>
      </c>
      <c r="O36">
        <f t="shared" si="3"/>
        <v>14.717948717948715</v>
      </c>
      <c r="Q36" s="3">
        <v>10014010</v>
      </c>
      <c r="R36" s="4">
        <v>81</v>
      </c>
      <c r="S36">
        <f t="shared" si="4"/>
        <v>3.2564102564102626</v>
      </c>
    </row>
    <row r="37" spans="1:19" x14ac:dyDescent="0.25">
      <c r="A37" s="3">
        <v>10014255</v>
      </c>
      <c r="B37" s="4">
        <v>121</v>
      </c>
      <c r="C37">
        <f t="shared" si="0"/>
        <v>19.027027027027032</v>
      </c>
      <c r="E37" s="3">
        <v>10014255</v>
      </c>
      <c r="F37" s="4">
        <v>88</v>
      </c>
      <c r="G37">
        <f t="shared" si="1"/>
        <v>6.7837837837837895</v>
      </c>
      <c r="I37" s="3">
        <v>10014255</v>
      </c>
      <c r="J37" s="4">
        <v>95</v>
      </c>
      <c r="K37">
        <f t="shared" si="2"/>
        <v>16.5</v>
      </c>
      <c r="M37" s="3">
        <v>10014255</v>
      </c>
      <c r="N37" s="4">
        <v>132</v>
      </c>
      <c r="O37">
        <f t="shared" si="3"/>
        <v>32.282051282051285</v>
      </c>
      <c r="Q37" s="3">
        <v>10014255</v>
      </c>
      <c r="R37" s="4">
        <v>82</v>
      </c>
      <c r="S37">
        <f t="shared" si="4"/>
        <v>2.2564102564102626</v>
      </c>
    </row>
    <row r="38" spans="1:19" x14ac:dyDescent="0.25">
      <c r="A38" s="3">
        <v>10014704</v>
      </c>
      <c r="B38" s="4">
        <v>97</v>
      </c>
      <c r="C38">
        <f t="shared" si="0"/>
        <v>4.9729729729729684</v>
      </c>
      <c r="E38" s="3">
        <v>10014704</v>
      </c>
      <c r="F38" s="4">
        <v>108</v>
      </c>
      <c r="G38">
        <f t="shared" si="1"/>
        <v>26.78378378378379</v>
      </c>
      <c r="I38" s="3">
        <v>10014704</v>
      </c>
      <c r="J38" s="4">
        <v>83</v>
      </c>
      <c r="K38">
        <f t="shared" si="2"/>
        <v>4.5</v>
      </c>
      <c r="M38" s="3">
        <v>10014704</v>
      </c>
      <c r="N38" s="4">
        <v>106</v>
      </c>
      <c r="O38">
        <f t="shared" si="3"/>
        <v>6.2820512820512846</v>
      </c>
      <c r="Q38" s="3">
        <v>10014704</v>
      </c>
      <c r="R38" s="4">
        <v>90</v>
      </c>
      <c r="S38">
        <f t="shared" si="4"/>
        <v>5.7435897435897374</v>
      </c>
    </row>
    <row r="39" spans="1:19" x14ac:dyDescent="0.25">
      <c r="A39" s="3">
        <v>10024737</v>
      </c>
      <c r="B39" s="4">
        <v>102</v>
      </c>
      <c r="C39">
        <f t="shared" si="0"/>
        <v>2.7027027027031636E-2</v>
      </c>
      <c r="E39" s="3">
        <v>10024737</v>
      </c>
      <c r="F39" s="4">
        <v>68</v>
      </c>
      <c r="G39">
        <f t="shared" si="1"/>
        <v>13.21621621621621</v>
      </c>
      <c r="I39" s="3">
        <v>10024737</v>
      </c>
      <c r="J39" s="4">
        <v>59</v>
      </c>
      <c r="K39">
        <f t="shared" si="2"/>
        <v>19.5</v>
      </c>
      <c r="M39" s="3">
        <v>10024737</v>
      </c>
      <c r="N39" s="4">
        <v>106</v>
      </c>
      <c r="O39">
        <f t="shared" si="3"/>
        <v>6.2820512820512846</v>
      </c>
      <c r="Q39" s="3">
        <v>10024737</v>
      </c>
      <c r="R39" s="4">
        <v>96</v>
      </c>
      <c r="S39">
        <f t="shared" si="4"/>
        <v>11.743589743589737</v>
      </c>
    </row>
    <row r="40" spans="1:19" x14ac:dyDescent="0.25">
      <c r="A40" s="3">
        <v>10024880</v>
      </c>
      <c r="B40" s="4">
        <v>120</v>
      </c>
      <c r="C40">
        <f t="shared" si="0"/>
        <v>18.027027027027032</v>
      </c>
      <c r="E40" s="3">
        <v>10024880</v>
      </c>
      <c r="F40" s="4">
        <v>112</v>
      </c>
      <c r="G40">
        <f t="shared" si="1"/>
        <v>30.78378378378379</v>
      </c>
      <c r="I40" s="3">
        <v>10024880</v>
      </c>
      <c r="J40" s="4">
        <v>82</v>
      </c>
      <c r="K40">
        <f t="shared" si="2"/>
        <v>3.5</v>
      </c>
      <c r="M40" s="3">
        <v>10024880</v>
      </c>
      <c r="N40" s="4">
        <v>100</v>
      </c>
      <c r="O40">
        <f t="shared" si="3"/>
        <v>0.2820512820512846</v>
      </c>
      <c r="Q40" s="3">
        <v>10024880</v>
      </c>
      <c r="R40" s="4">
        <v>109</v>
      </c>
      <c r="S40">
        <f t="shared" si="4"/>
        <v>24.743589743589737</v>
      </c>
    </row>
    <row r="41" spans="1:19" x14ac:dyDescent="0.25">
      <c r="A41" s="3">
        <v>10025537</v>
      </c>
      <c r="B41" s="4">
        <v>115</v>
      </c>
      <c r="C41">
        <f t="shared" si="0"/>
        <v>13.027027027027032</v>
      </c>
      <c r="E41" s="3">
        <v>10025537</v>
      </c>
      <c r="F41" s="4">
        <v>89</v>
      </c>
      <c r="G41">
        <f t="shared" si="1"/>
        <v>7.7837837837837895</v>
      </c>
      <c r="I41" s="3">
        <v>10025537</v>
      </c>
      <c r="J41" s="4">
        <v>101</v>
      </c>
      <c r="K41">
        <f t="shared" si="2"/>
        <v>22.5</v>
      </c>
      <c r="M41" s="3">
        <v>10025537</v>
      </c>
      <c r="N41" s="4">
        <v>115</v>
      </c>
      <c r="O41">
        <f t="shared" si="3"/>
        <v>15.282051282051285</v>
      </c>
      <c r="Q41" s="3">
        <v>10025537</v>
      </c>
      <c r="R41" s="4">
        <v>89</v>
      </c>
      <c r="S41">
        <f t="shared" si="4"/>
        <v>4.7435897435897374</v>
      </c>
    </row>
    <row r="42" spans="1:19" x14ac:dyDescent="0.25">
      <c r="A42" s="3">
        <v>10025538</v>
      </c>
      <c r="B42" s="4">
        <v>119</v>
      </c>
      <c r="C42">
        <f t="shared" si="0"/>
        <v>17.027027027027032</v>
      </c>
      <c r="E42" s="3">
        <v>10025538</v>
      </c>
      <c r="F42" s="4">
        <v>73</v>
      </c>
      <c r="G42">
        <f t="shared" si="1"/>
        <v>8.2162162162162105</v>
      </c>
      <c r="I42" s="3">
        <v>10025538</v>
      </c>
      <c r="J42" s="4">
        <v>72</v>
      </c>
      <c r="K42">
        <f t="shared" si="2"/>
        <v>6.5</v>
      </c>
      <c r="M42" s="3">
        <v>10025538</v>
      </c>
      <c r="N42" s="4">
        <v>85</v>
      </c>
      <c r="O42">
        <f t="shared" si="3"/>
        <v>14.717948717948715</v>
      </c>
      <c r="Q42" s="3">
        <v>10025538</v>
      </c>
      <c r="R42" s="4">
        <v>94</v>
      </c>
      <c r="S42">
        <f t="shared" si="4"/>
        <v>9.7435897435897374</v>
      </c>
    </row>
    <row r="43" spans="1:19" x14ac:dyDescent="0.25">
      <c r="A43" s="3">
        <v>10029570</v>
      </c>
      <c r="B43" s="4">
        <v>123</v>
      </c>
      <c r="C43">
        <f t="shared" si="0"/>
        <v>21.027027027027032</v>
      </c>
      <c r="E43" s="3">
        <v>10029570</v>
      </c>
      <c r="F43" s="4">
        <v>107</v>
      </c>
      <c r="G43">
        <f t="shared" si="1"/>
        <v>25.78378378378379</v>
      </c>
      <c r="I43" s="3">
        <v>10029570</v>
      </c>
      <c r="J43" s="4">
        <v>86</v>
      </c>
      <c r="K43">
        <f t="shared" si="2"/>
        <v>7.5</v>
      </c>
      <c r="M43" s="3">
        <v>10029570</v>
      </c>
      <c r="N43" s="4">
        <v>106</v>
      </c>
      <c r="O43">
        <f t="shared" si="3"/>
        <v>6.2820512820512846</v>
      </c>
      <c r="Q43" s="3">
        <v>10029570</v>
      </c>
      <c r="R43" s="4">
        <v>89</v>
      </c>
      <c r="S43">
        <f t="shared" si="4"/>
        <v>4.7435897435897374</v>
      </c>
    </row>
    <row r="44" spans="1:19" x14ac:dyDescent="0.25">
      <c r="A44" s="3">
        <v>10031843</v>
      </c>
      <c r="B44" s="4">
        <v>90</v>
      </c>
      <c r="C44">
        <f t="shared" si="0"/>
        <v>11.972972972972968</v>
      </c>
      <c r="E44" s="3">
        <v>10031843</v>
      </c>
      <c r="F44" s="4">
        <v>71</v>
      </c>
      <c r="G44">
        <f t="shared" si="1"/>
        <v>10.21621621621621</v>
      </c>
      <c r="I44" s="3">
        <v>10031843</v>
      </c>
      <c r="J44" s="4">
        <v>88</v>
      </c>
      <c r="K44">
        <f t="shared" si="2"/>
        <v>9.5</v>
      </c>
      <c r="M44" s="3">
        <v>10031843</v>
      </c>
      <c r="N44" s="4">
        <v>124</v>
      </c>
      <c r="O44">
        <f t="shared" si="3"/>
        <v>24.282051282051285</v>
      </c>
      <c r="Q44" s="3">
        <v>10031843</v>
      </c>
      <c r="R44" s="4">
        <v>74</v>
      </c>
      <c r="S44">
        <f t="shared" si="4"/>
        <v>10.256410256410263</v>
      </c>
    </row>
    <row r="45" spans="1:19" x14ac:dyDescent="0.25">
      <c r="A45" s="3">
        <v>10031844</v>
      </c>
      <c r="B45" s="4">
        <v>55</v>
      </c>
      <c r="C45">
        <f t="shared" si="0"/>
        <v>46.972972972972968</v>
      </c>
      <c r="E45" s="3">
        <v>10031844</v>
      </c>
      <c r="F45" s="4">
        <v>69</v>
      </c>
      <c r="G45">
        <f t="shared" si="1"/>
        <v>12.21621621621621</v>
      </c>
      <c r="I45" s="3">
        <v>10031844</v>
      </c>
      <c r="J45" s="4">
        <v>80</v>
      </c>
      <c r="K45">
        <f t="shared" si="2"/>
        <v>1.5</v>
      </c>
      <c r="M45" s="3">
        <v>10031844</v>
      </c>
      <c r="N45" s="4">
        <v>97</v>
      </c>
      <c r="O45">
        <f t="shared" si="3"/>
        <v>2.7179487179487154</v>
      </c>
      <c r="Q45" s="3">
        <v>10031844</v>
      </c>
      <c r="R45" s="4">
        <v>70</v>
      </c>
      <c r="S45">
        <f t="shared" si="4"/>
        <v>14.256410256410263</v>
      </c>
    </row>
    <row r="46" spans="1:19" x14ac:dyDescent="0.25">
      <c r="A46" s="3">
        <v>10031845</v>
      </c>
      <c r="B46" s="4">
        <v>148</v>
      </c>
      <c r="C46">
        <f t="shared" si="0"/>
        <v>46.027027027027032</v>
      </c>
      <c r="E46" s="3">
        <v>10031845</v>
      </c>
      <c r="F46" s="4">
        <v>101</v>
      </c>
      <c r="G46">
        <f t="shared" si="1"/>
        <v>19.78378378378379</v>
      </c>
      <c r="I46" s="3">
        <v>10031845</v>
      </c>
      <c r="J46" s="4">
        <v>80</v>
      </c>
      <c r="K46">
        <f t="shared" si="2"/>
        <v>1.5</v>
      </c>
      <c r="M46" s="3">
        <v>10031845</v>
      </c>
      <c r="N46" s="4">
        <v>94</v>
      </c>
      <c r="O46">
        <f t="shared" si="3"/>
        <v>5.7179487179487154</v>
      </c>
      <c r="Q46" s="3">
        <v>10031845</v>
      </c>
      <c r="R46" s="4">
        <v>94</v>
      </c>
      <c r="S46">
        <f t="shared" si="4"/>
        <v>9.7435897435897374</v>
      </c>
    </row>
    <row r="47" spans="1:19" x14ac:dyDescent="0.25">
      <c r="A47" s="3">
        <v>10035125</v>
      </c>
      <c r="B47" s="4">
        <v>122</v>
      </c>
      <c r="C47">
        <f t="shared" si="0"/>
        <v>20.027027027027032</v>
      </c>
      <c r="E47" s="3">
        <v>10035125</v>
      </c>
      <c r="F47" s="4">
        <v>73</v>
      </c>
      <c r="G47">
        <f t="shared" si="1"/>
        <v>8.2162162162162105</v>
      </c>
      <c r="I47" s="3">
        <v>10035125</v>
      </c>
      <c r="J47" s="4">
        <v>106</v>
      </c>
      <c r="K47">
        <f t="shared" si="2"/>
        <v>27.5</v>
      </c>
      <c r="M47" s="3">
        <v>10035125</v>
      </c>
      <c r="N47" s="4">
        <v>125</v>
      </c>
      <c r="O47">
        <f t="shared" si="3"/>
        <v>25.282051282051285</v>
      </c>
      <c r="Q47" s="3">
        <v>10035125</v>
      </c>
      <c r="R47" s="4">
        <v>102</v>
      </c>
      <c r="S47">
        <f t="shared" si="4"/>
        <v>17.743589743589737</v>
      </c>
    </row>
    <row r="48" spans="1:19" x14ac:dyDescent="0.25">
      <c r="A48" s="3">
        <v>10038027</v>
      </c>
      <c r="B48" s="4">
        <v>159</v>
      </c>
      <c r="C48">
        <f t="shared" si="0"/>
        <v>57.027027027027032</v>
      </c>
      <c r="E48" s="3">
        <v>10038027</v>
      </c>
      <c r="F48" s="4">
        <v>119</v>
      </c>
      <c r="G48">
        <f t="shared" si="1"/>
        <v>37.78378378378379</v>
      </c>
      <c r="I48" s="3">
        <v>10038027</v>
      </c>
      <c r="J48" s="4">
        <v>92</v>
      </c>
      <c r="K48">
        <f t="shared" si="2"/>
        <v>13.5</v>
      </c>
      <c r="M48" s="3">
        <v>10038027</v>
      </c>
      <c r="N48" s="4">
        <v>141</v>
      </c>
      <c r="O48">
        <f t="shared" si="3"/>
        <v>41.282051282051285</v>
      </c>
      <c r="Q48" s="3">
        <v>10038027</v>
      </c>
      <c r="R48" s="4">
        <v>110</v>
      </c>
      <c r="S48">
        <f t="shared" si="4"/>
        <v>25.743589743589737</v>
      </c>
    </row>
    <row r="49" spans="1:19" x14ac:dyDescent="0.25">
      <c r="A49" s="3">
        <v>10046352</v>
      </c>
      <c r="B49" s="4">
        <v>44</v>
      </c>
      <c r="C49">
        <f t="shared" si="0"/>
        <v>57.972972972972968</v>
      </c>
      <c r="E49" s="3">
        <v>10046352</v>
      </c>
      <c r="F49" s="4">
        <v>52</v>
      </c>
      <c r="G49">
        <f t="shared" si="1"/>
        <v>29.21621621621621</v>
      </c>
      <c r="I49" s="3">
        <v>10046352</v>
      </c>
      <c r="J49" s="4">
        <v>65</v>
      </c>
      <c r="K49">
        <f t="shared" si="2"/>
        <v>13.5</v>
      </c>
      <c r="M49" s="3">
        <v>10046352</v>
      </c>
      <c r="N49" s="4">
        <v>76</v>
      </c>
      <c r="O49">
        <f t="shared" si="3"/>
        <v>23.717948717948715</v>
      </c>
      <c r="Q49" s="3">
        <v>10046352</v>
      </c>
      <c r="R49" s="4">
        <v>67</v>
      </c>
      <c r="S49">
        <f t="shared" si="4"/>
        <v>17.256410256410263</v>
      </c>
    </row>
    <row r="50" spans="1:19" x14ac:dyDescent="0.25">
      <c r="A50" s="3">
        <v>10046795</v>
      </c>
      <c r="B50" s="4">
        <v>125</v>
      </c>
      <c r="C50">
        <f t="shared" si="0"/>
        <v>23.027027027027032</v>
      </c>
      <c r="E50" s="3">
        <v>10046795</v>
      </c>
      <c r="F50" s="4">
        <v>78</v>
      </c>
      <c r="G50">
        <f t="shared" si="1"/>
        <v>3.2162162162162105</v>
      </c>
      <c r="I50" s="3">
        <v>10046795</v>
      </c>
      <c r="J50" s="4">
        <v>84</v>
      </c>
      <c r="K50">
        <f t="shared" si="2"/>
        <v>5.5</v>
      </c>
      <c r="M50" s="3">
        <v>10046795</v>
      </c>
      <c r="N50" s="4">
        <v>138</v>
      </c>
      <c r="O50">
        <f t="shared" si="3"/>
        <v>38.282051282051285</v>
      </c>
      <c r="Q50" s="3">
        <v>10046795</v>
      </c>
      <c r="R50" s="4">
        <v>95</v>
      </c>
      <c r="S50">
        <f t="shared" si="4"/>
        <v>10.743589743589737</v>
      </c>
    </row>
    <row r="51" spans="1:19" x14ac:dyDescent="0.25">
      <c r="A51" s="3">
        <v>10047909</v>
      </c>
      <c r="B51" s="4">
        <v>104</v>
      </c>
      <c r="C51">
        <f t="shared" si="0"/>
        <v>2.0270270270270316</v>
      </c>
      <c r="E51" s="3">
        <v>10047909</v>
      </c>
      <c r="F51" s="4">
        <v>73</v>
      </c>
      <c r="G51">
        <f t="shared" si="1"/>
        <v>8.2162162162162105</v>
      </c>
      <c r="I51" s="3">
        <v>10047909</v>
      </c>
      <c r="J51" s="4">
        <v>90</v>
      </c>
      <c r="K51">
        <f t="shared" si="2"/>
        <v>11.5</v>
      </c>
      <c r="M51" s="3">
        <v>10047909</v>
      </c>
      <c r="N51" s="4">
        <v>106</v>
      </c>
      <c r="O51">
        <f t="shared" si="3"/>
        <v>6.2820512820512846</v>
      </c>
      <c r="Q51" s="3">
        <v>10047909</v>
      </c>
      <c r="R51" s="4">
        <v>65</v>
      </c>
      <c r="S51">
        <f t="shared" si="4"/>
        <v>19.256410256410263</v>
      </c>
    </row>
    <row r="52" spans="1:19" x14ac:dyDescent="0.25">
      <c r="A52" s="3">
        <v>10052254</v>
      </c>
      <c r="B52" s="4">
        <v>113</v>
      </c>
      <c r="C52">
        <f t="shared" si="0"/>
        <v>11.027027027027032</v>
      </c>
      <c r="E52" s="3">
        <v>10052254</v>
      </c>
      <c r="F52" s="4">
        <v>90</v>
      </c>
      <c r="G52">
        <f t="shared" si="1"/>
        <v>8.7837837837837895</v>
      </c>
      <c r="I52" s="3">
        <v>10052254</v>
      </c>
      <c r="J52" s="4">
        <v>56</v>
      </c>
      <c r="K52">
        <f t="shared" si="2"/>
        <v>22.5</v>
      </c>
      <c r="M52" s="3">
        <v>10052254</v>
      </c>
      <c r="N52" s="4">
        <v>129</v>
      </c>
      <c r="O52">
        <f t="shared" si="3"/>
        <v>29.282051282051285</v>
      </c>
      <c r="Q52" s="3">
        <v>10052254</v>
      </c>
      <c r="R52" s="4">
        <v>61</v>
      </c>
      <c r="S52">
        <f t="shared" si="4"/>
        <v>23.256410256410263</v>
      </c>
    </row>
    <row r="53" spans="1:19" x14ac:dyDescent="0.25">
      <c r="A53" s="3">
        <v>10053112</v>
      </c>
      <c r="B53" s="4">
        <v>104</v>
      </c>
      <c r="C53">
        <f t="shared" si="0"/>
        <v>2.0270270270270316</v>
      </c>
      <c r="E53" s="3">
        <v>10053112</v>
      </c>
      <c r="F53" s="4">
        <v>91</v>
      </c>
      <c r="G53">
        <f t="shared" si="1"/>
        <v>9.7837837837837895</v>
      </c>
      <c r="I53" s="3">
        <v>10053112</v>
      </c>
      <c r="J53" s="4">
        <v>97</v>
      </c>
      <c r="K53">
        <f t="shared" si="2"/>
        <v>18.5</v>
      </c>
      <c r="M53" s="3">
        <v>10053112</v>
      </c>
      <c r="N53" s="4">
        <v>98</v>
      </c>
      <c r="O53">
        <f t="shared" si="3"/>
        <v>1.7179487179487154</v>
      </c>
      <c r="Q53" s="3">
        <v>10053112</v>
      </c>
      <c r="R53" s="4">
        <v>77</v>
      </c>
      <c r="S53">
        <f t="shared" si="4"/>
        <v>7.2564102564102626</v>
      </c>
    </row>
    <row r="54" spans="1:19" x14ac:dyDescent="0.25">
      <c r="A54" s="3">
        <v>10055658</v>
      </c>
      <c r="B54" s="4">
        <v>127</v>
      </c>
      <c r="C54">
        <f t="shared" si="0"/>
        <v>25.027027027027032</v>
      </c>
      <c r="E54" s="3">
        <v>10055658</v>
      </c>
      <c r="F54" s="4">
        <v>85</v>
      </c>
      <c r="G54">
        <f t="shared" si="1"/>
        <v>3.7837837837837895</v>
      </c>
      <c r="I54" s="3">
        <v>10055658</v>
      </c>
      <c r="J54" s="4">
        <v>79</v>
      </c>
      <c r="K54">
        <f t="shared" si="2"/>
        <v>0.5</v>
      </c>
      <c r="M54" s="3">
        <v>10055658</v>
      </c>
      <c r="N54" s="4">
        <v>122</v>
      </c>
      <c r="O54">
        <f t="shared" si="3"/>
        <v>22.282051282051285</v>
      </c>
      <c r="Q54" s="3">
        <v>10055658</v>
      </c>
      <c r="R54" s="4">
        <v>66</v>
      </c>
      <c r="S54">
        <f t="shared" si="4"/>
        <v>18.256410256410263</v>
      </c>
    </row>
    <row r="55" spans="1:19" x14ac:dyDescent="0.25">
      <c r="A55" s="3">
        <v>10062125</v>
      </c>
      <c r="B55" s="4">
        <v>112</v>
      </c>
      <c r="C55">
        <f t="shared" si="0"/>
        <v>10.027027027027032</v>
      </c>
      <c r="E55" s="3">
        <v>10062125</v>
      </c>
      <c r="F55" s="4">
        <v>113</v>
      </c>
      <c r="G55">
        <f t="shared" si="1"/>
        <v>31.78378378378379</v>
      </c>
      <c r="I55" s="3">
        <v>10062125</v>
      </c>
      <c r="J55" s="4">
        <v>102</v>
      </c>
      <c r="K55">
        <f t="shared" si="2"/>
        <v>23.5</v>
      </c>
      <c r="M55" s="3">
        <v>10062125</v>
      </c>
      <c r="N55" s="4">
        <v>135</v>
      </c>
      <c r="O55">
        <f t="shared" si="3"/>
        <v>35.282051282051285</v>
      </c>
      <c r="Q55" s="3">
        <v>10062125</v>
      </c>
      <c r="R55" s="4">
        <v>118</v>
      </c>
      <c r="S55">
        <f t="shared" si="4"/>
        <v>33.743589743589737</v>
      </c>
    </row>
    <row r="56" spans="1:19" x14ac:dyDescent="0.25">
      <c r="A56" s="3">
        <v>10064690</v>
      </c>
      <c r="B56" s="4">
        <v>96</v>
      </c>
      <c r="C56">
        <f t="shared" si="0"/>
        <v>5.9729729729729684</v>
      </c>
      <c r="E56" s="3">
        <v>10064690</v>
      </c>
      <c r="F56" s="4">
        <v>63</v>
      </c>
      <c r="G56">
        <f t="shared" si="1"/>
        <v>18.21621621621621</v>
      </c>
      <c r="I56" s="3">
        <v>10064690</v>
      </c>
      <c r="J56" s="4">
        <v>63</v>
      </c>
      <c r="K56">
        <f t="shared" si="2"/>
        <v>15.5</v>
      </c>
      <c r="M56" s="3">
        <v>10064690</v>
      </c>
      <c r="N56" s="4">
        <v>72</v>
      </c>
      <c r="O56">
        <f t="shared" si="3"/>
        <v>27.717948717948715</v>
      </c>
      <c r="Q56" s="3">
        <v>10064690</v>
      </c>
      <c r="R56" s="4">
        <v>78</v>
      </c>
      <c r="S56">
        <f t="shared" si="4"/>
        <v>6.2564102564102626</v>
      </c>
    </row>
    <row r="57" spans="1:19" x14ac:dyDescent="0.25">
      <c r="A57" s="3">
        <v>10068449</v>
      </c>
      <c r="B57" s="4">
        <v>125</v>
      </c>
      <c r="C57">
        <f t="shared" si="0"/>
        <v>23.027027027027032</v>
      </c>
      <c r="E57" s="3">
        <v>10068449</v>
      </c>
      <c r="F57" s="4">
        <v>83</v>
      </c>
      <c r="G57">
        <f t="shared" si="1"/>
        <v>1.7837837837837895</v>
      </c>
      <c r="I57" s="3">
        <v>10068449</v>
      </c>
      <c r="J57" s="4">
        <v>91</v>
      </c>
      <c r="K57">
        <f t="shared" si="2"/>
        <v>12.5</v>
      </c>
      <c r="M57" s="3">
        <v>10068449</v>
      </c>
      <c r="N57" s="4">
        <v>125</v>
      </c>
      <c r="O57">
        <f t="shared" si="3"/>
        <v>25.282051282051285</v>
      </c>
      <c r="Q57" s="3">
        <v>10068449</v>
      </c>
      <c r="R57" s="4">
        <v>97</v>
      </c>
      <c r="S57">
        <f t="shared" si="4"/>
        <v>12.743589743589737</v>
      </c>
    </row>
    <row r="58" spans="1:19" x14ac:dyDescent="0.25">
      <c r="A58" s="3">
        <v>10072594</v>
      </c>
      <c r="B58" s="4">
        <v>96</v>
      </c>
      <c r="C58">
        <f t="shared" si="0"/>
        <v>5.9729729729729684</v>
      </c>
      <c r="E58" s="3">
        <v>10072594</v>
      </c>
      <c r="F58" s="4">
        <v>76</v>
      </c>
      <c r="G58">
        <f t="shared" si="1"/>
        <v>5.2162162162162105</v>
      </c>
      <c r="I58" s="3">
        <v>10072594</v>
      </c>
      <c r="J58" s="4">
        <v>64</v>
      </c>
      <c r="K58">
        <f t="shared" si="2"/>
        <v>14.5</v>
      </c>
      <c r="M58" s="3">
        <v>10072594</v>
      </c>
      <c r="N58" s="4">
        <v>97</v>
      </c>
      <c r="O58">
        <f t="shared" si="3"/>
        <v>2.7179487179487154</v>
      </c>
      <c r="Q58" s="3">
        <v>10072594</v>
      </c>
      <c r="R58" s="4">
        <v>86</v>
      </c>
      <c r="S58">
        <f t="shared" si="4"/>
        <v>1.7435897435897374</v>
      </c>
    </row>
    <row r="59" spans="1:19" x14ac:dyDescent="0.25">
      <c r="A59" s="3">
        <v>10072947</v>
      </c>
      <c r="B59" s="4">
        <v>87</v>
      </c>
      <c r="C59">
        <f t="shared" si="0"/>
        <v>14.972972972972968</v>
      </c>
      <c r="E59" s="3">
        <v>10072947</v>
      </c>
      <c r="F59" s="4">
        <v>63</v>
      </c>
      <c r="G59">
        <f t="shared" si="1"/>
        <v>18.21621621621621</v>
      </c>
      <c r="I59" s="3">
        <v>10072947</v>
      </c>
      <c r="J59" s="4">
        <v>56</v>
      </c>
      <c r="K59">
        <f t="shared" si="2"/>
        <v>22.5</v>
      </c>
      <c r="M59" s="3">
        <v>10072947</v>
      </c>
      <c r="N59" s="4">
        <v>87</v>
      </c>
      <c r="O59">
        <f t="shared" si="3"/>
        <v>12.717948717948715</v>
      </c>
      <c r="Q59" s="3">
        <v>10072947</v>
      </c>
      <c r="R59" s="4">
        <v>97</v>
      </c>
      <c r="S59">
        <f t="shared" si="4"/>
        <v>12.743589743589737</v>
      </c>
    </row>
    <row r="60" spans="1:19" x14ac:dyDescent="0.25">
      <c r="A60" s="3">
        <v>10073889</v>
      </c>
      <c r="B60" s="4">
        <v>109</v>
      </c>
      <c r="C60">
        <f t="shared" si="0"/>
        <v>7.0270270270270316</v>
      </c>
      <c r="E60" s="3">
        <v>10074145</v>
      </c>
      <c r="F60" s="4">
        <v>64</v>
      </c>
      <c r="G60">
        <f t="shared" si="1"/>
        <v>17.21621621621621</v>
      </c>
      <c r="I60" s="3">
        <v>10073494</v>
      </c>
      <c r="J60" s="4">
        <v>72</v>
      </c>
      <c r="K60">
        <f t="shared" si="2"/>
        <v>6.5</v>
      </c>
      <c r="M60" s="3">
        <v>10073889</v>
      </c>
      <c r="N60" s="4">
        <v>95</v>
      </c>
      <c r="O60">
        <f t="shared" si="3"/>
        <v>4.7179487179487154</v>
      </c>
      <c r="Q60" s="3">
        <v>10073494</v>
      </c>
      <c r="R60" s="4">
        <v>80</v>
      </c>
      <c r="S60">
        <f t="shared" si="4"/>
        <v>4.2564102564102626</v>
      </c>
    </row>
    <row r="61" spans="1:19" x14ac:dyDescent="0.25">
      <c r="A61" s="3">
        <v>10074145</v>
      </c>
      <c r="B61" s="4">
        <v>95</v>
      </c>
      <c r="C61">
        <f t="shared" si="0"/>
        <v>6.9729729729729684</v>
      </c>
      <c r="E61" s="3">
        <v>10076349</v>
      </c>
      <c r="F61" s="4">
        <v>59</v>
      </c>
      <c r="G61">
        <f t="shared" si="1"/>
        <v>22.21621621621621</v>
      </c>
      <c r="I61" s="3">
        <v>10073889</v>
      </c>
      <c r="J61" s="4">
        <v>77</v>
      </c>
      <c r="K61">
        <f t="shared" si="2"/>
        <v>1.5</v>
      </c>
      <c r="M61" s="3">
        <v>10074145</v>
      </c>
      <c r="N61" s="4">
        <v>92</v>
      </c>
      <c r="O61">
        <f t="shared" si="3"/>
        <v>7.7179487179487154</v>
      </c>
      <c r="Q61" s="3">
        <v>10073889</v>
      </c>
      <c r="R61" s="4">
        <v>80</v>
      </c>
      <c r="S61">
        <f t="shared" si="4"/>
        <v>4.2564102564102626</v>
      </c>
    </row>
    <row r="62" spans="1:19" x14ac:dyDescent="0.25">
      <c r="A62" s="3">
        <v>10076349</v>
      </c>
      <c r="B62" s="4">
        <v>93</v>
      </c>
      <c r="C62">
        <f t="shared" si="0"/>
        <v>8.9729729729729684</v>
      </c>
      <c r="E62" s="3">
        <v>10078132</v>
      </c>
      <c r="F62" s="4">
        <v>101</v>
      </c>
      <c r="G62">
        <f t="shared" si="1"/>
        <v>19.78378378378379</v>
      </c>
      <c r="I62" s="3">
        <v>10074145</v>
      </c>
      <c r="J62" s="4">
        <v>90</v>
      </c>
      <c r="K62">
        <f t="shared" si="2"/>
        <v>11.5</v>
      </c>
      <c r="M62" s="3">
        <v>10076349</v>
      </c>
      <c r="N62" s="4">
        <v>73</v>
      </c>
      <c r="O62">
        <f t="shared" si="3"/>
        <v>26.717948717948715</v>
      </c>
      <c r="Q62" s="3">
        <v>10074145</v>
      </c>
      <c r="R62" s="4">
        <v>87</v>
      </c>
      <c r="S62">
        <f t="shared" si="4"/>
        <v>2.7435897435897374</v>
      </c>
    </row>
    <row r="63" spans="1:19" x14ac:dyDescent="0.25">
      <c r="A63" s="3">
        <v>10078132</v>
      </c>
      <c r="B63" s="4">
        <v>107</v>
      </c>
      <c r="C63">
        <f t="shared" si="0"/>
        <v>5.0270270270270316</v>
      </c>
      <c r="E63" s="3">
        <v>10079995</v>
      </c>
      <c r="F63" s="4">
        <v>70</v>
      </c>
      <c r="G63">
        <f t="shared" si="1"/>
        <v>11.21621621621621</v>
      </c>
      <c r="I63" s="3">
        <v>10076349</v>
      </c>
      <c r="J63" s="4">
        <v>80</v>
      </c>
      <c r="K63">
        <f t="shared" si="2"/>
        <v>1.5</v>
      </c>
      <c r="M63" s="3">
        <v>10078132</v>
      </c>
      <c r="N63" s="4">
        <v>93</v>
      </c>
      <c r="O63">
        <f t="shared" si="3"/>
        <v>6.7179487179487154</v>
      </c>
      <c r="Q63" s="3">
        <v>10076349</v>
      </c>
      <c r="R63" s="4">
        <v>88</v>
      </c>
      <c r="S63">
        <f t="shared" si="4"/>
        <v>3.7435897435897374</v>
      </c>
    </row>
    <row r="64" spans="1:19" x14ac:dyDescent="0.25">
      <c r="A64" s="3">
        <v>10079995</v>
      </c>
      <c r="B64" s="4">
        <v>103</v>
      </c>
      <c r="C64">
        <f t="shared" si="0"/>
        <v>1.0270270270270316</v>
      </c>
      <c r="E64" s="3">
        <v>10080481</v>
      </c>
      <c r="F64" s="4">
        <v>40</v>
      </c>
      <c r="G64">
        <f t="shared" si="1"/>
        <v>41.21621621621621</v>
      </c>
      <c r="I64" s="3">
        <v>10078132</v>
      </c>
      <c r="J64" s="4">
        <v>93</v>
      </c>
      <c r="K64">
        <f t="shared" si="2"/>
        <v>14.5</v>
      </c>
      <c r="M64" s="3">
        <v>10079995</v>
      </c>
      <c r="N64" s="4">
        <v>88</v>
      </c>
      <c r="O64">
        <f t="shared" si="3"/>
        <v>11.717948717948715</v>
      </c>
      <c r="Q64" s="3">
        <v>10078132</v>
      </c>
      <c r="R64" s="4">
        <v>80</v>
      </c>
      <c r="S64">
        <f t="shared" si="4"/>
        <v>4.2564102564102626</v>
      </c>
    </row>
    <row r="65" spans="1:19" x14ac:dyDescent="0.25">
      <c r="A65" s="3">
        <v>10080481</v>
      </c>
      <c r="B65" s="4">
        <v>61</v>
      </c>
      <c r="C65">
        <f t="shared" si="0"/>
        <v>40.972972972972968</v>
      </c>
      <c r="E65" s="3">
        <v>10080492</v>
      </c>
      <c r="F65" s="4">
        <v>74</v>
      </c>
      <c r="G65">
        <f t="shared" si="1"/>
        <v>7.2162162162162105</v>
      </c>
      <c r="I65" s="3">
        <v>10079995</v>
      </c>
      <c r="J65" s="4">
        <v>67</v>
      </c>
      <c r="K65">
        <f t="shared" si="2"/>
        <v>11.5</v>
      </c>
      <c r="M65" s="3">
        <v>10080481</v>
      </c>
      <c r="N65" s="4">
        <v>73</v>
      </c>
      <c r="O65">
        <f t="shared" si="3"/>
        <v>26.717948717948715</v>
      </c>
      <c r="Q65" s="3">
        <v>10079995</v>
      </c>
      <c r="R65" s="4">
        <v>60</v>
      </c>
      <c r="S65">
        <f t="shared" si="4"/>
        <v>24.256410256410263</v>
      </c>
    </row>
    <row r="66" spans="1:19" x14ac:dyDescent="0.25">
      <c r="A66" s="3">
        <v>10080492</v>
      </c>
      <c r="B66" s="4">
        <v>47</v>
      </c>
      <c r="C66">
        <f t="shared" si="0"/>
        <v>54.972972972972968</v>
      </c>
      <c r="E66" s="3">
        <v>10080526</v>
      </c>
      <c r="F66" s="4">
        <v>35</v>
      </c>
      <c r="G66">
        <f t="shared" si="1"/>
        <v>46.21621621621621</v>
      </c>
      <c r="I66" s="3">
        <v>10080481</v>
      </c>
      <c r="J66" s="4">
        <v>55</v>
      </c>
      <c r="K66">
        <f t="shared" si="2"/>
        <v>23.5</v>
      </c>
      <c r="M66" s="3">
        <v>10080492</v>
      </c>
      <c r="N66" s="4">
        <v>69</v>
      </c>
      <c r="O66">
        <f t="shared" si="3"/>
        <v>30.717948717948715</v>
      </c>
      <c r="Q66" s="3">
        <v>10080481</v>
      </c>
      <c r="R66" s="4">
        <v>67</v>
      </c>
      <c r="S66">
        <f t="shared" si="4"/>
        <v>17.256410256410263</v>
      </c>
    </row>
    <row r="67" spans="1:19" x14ac:dyDescent="0.25">
      <c r="A67" s="3">
        <v>10080526</v>
      </c>
      <c r="B67" s="4">
        <v>26</v>
      </c>
      <c r="C67">
        <f t="shared" si="0"/>
        <v>75.972972972972968</v>
      </c>
      <c r="E67" s="3">
        <v>10080596</v>
      </c>
      <c r="F67" s="4">
        <v>52</v>
      </c>
      <c r="G67">
        <f t="shared" si="1"/>
        <v>29.21621621621621</v>
      </c>
      <c r="I67" s="3">
        <v>10080492</v>
      </c>
      <c r="J67" s="4">
        <v>59</v>
      </c>
      <c r="K67">
        <f t="shared" si="2"/>
        <v>19.5</v>
      </c>
      <c r="M67" s="3">
        <v>10080596</v>
      </c>
      <c r="N67" s="4">
        <v>75</v>
      </c>
      <c r="O67">
        <f t="shared" si="3"/>
        <v>24.717948717948715</v>
      </c>
      <c r="Q67" s="3">
        <v>10080492</v>
      </c>
      <c r="R67" s="4">
        <v>68</v>
      </c>
      <c r="S67">
        <f t="shared" si="4"/>
        <v>16.256410256410263</v>
      </c>
    </row>
    <row r="68" spans="1:19" x14ac:dyDescent="0.25">
      <c r="A68" s="10" t="s">
        <v>41</v>
      </c>
      <c r="B68" s="10">
        <f>AVERAGE(B31:B67)</f>
        <v>101.97297297297297</v>
      </c>
      <c r="E68" s="10" t="s">
        <v>41</v>
      </c>
      <c r="F68" s="10">
        <f>AVERAGE(F31:F67)</f>
        <v>81.21621621621621</v>
      </c>
      <c r="I68" s="3">
        <v>10080596</v>
      </c>
      <c r="J68" s="4">
        <v>56</v>
      </c>
      <c r="K68">
        <f t="shared" si="2"/>
        <v>22.5</v>
      </c>
      <c r="M68" s="3">
        <v>10080624</v>
      </c>
      <c r="N68" s="4">
        <v>47</v>
      </c>
      <c r="O68">
        <f t="shared" si="3"/>
        <v>52.717948717948715</v>
      </c>
      <c r="Q68" s="3">
        <v>10080596</v>
      </c>
      <c r="R68" s="4">
        <v>51</v>
      </c>
      <c r="S68">
        <f t="shared" si="4"/>
        <v>33.256410256410263</v>
      </c>
    </row>
    <row r="69" spans="1:19" x14ac:dyDescent="0.25">
      <c r="A69" s="10" t="s">
        <v>39</v>
      </c>
      <c r="B69" s="10">
        <f>STDEVA(B31:B67)</f>
        <v>27.329762456265797</v>
      </c>
      <c r="E69" s="10" t="s">
        <v>39</v>
      </c>
      <c r="F69" s="10">
        <f>STDEVA(F31:F67)</f>
        <v>20.534706576286258</v>
      </c>
      <c r="I69" s="3">
        <v>10080624</v>
      </c>
      <c r="J69" s="4">
        <v>41</v>
      </c>
      <c r="K69">
        <f t="shared" si="2"/>
        <v>37.5</v>
      </c>
      <c r="M69" s="3">
        <v>10080747</v>
      </c>
      <c r="N69" s="4">
        <v>39</v>
      </c>
      <c r="O69">
        <f t="shared" si="3"/>
        <v>60.717948717948715</v>
      </c>
      <c r="Q69" s="3">
        <v>10080747</v>
      </c>
      <c r="R69" s="4">
        <v>62</v>
      </c>
      <c r="S69">
        <f t="shared" si="4"/>
        <v>22.256410256410263</v>
      </c>
    </row>
    <row r="70" spans="1:19" x14ac:dyDescent="0.25">
      <c r="A70" s="10" t="s">
        <v>36</v>
      </c>
      <c r="B70" s="10">
        <f>SUM(C31:C67)/COUNT(A31:A67)</f>
        <v>19.384952520087651</v>
      </c>
      <c r="E70" s="10" t="s">
        <v>36</v>
      </c>
      <c r="F70" s="10">
        <f>SUM(G31:G67)/COUNT(E31:E67)</f>
        <v>16.762600438276117</v>
      </c>
      <c r="I70" s="3">
        <v>10080747</v>
      </c>
      <c r="J70" s="4">
        <v>28</v>
      </c>
      <c r="K70">
        <f t="shared" si="2"/>
        <v>50.5</v>
      </c>
      <c r="M70" s="10" t="s">
        <v>41</v>
      </c>
      <c r="N70" s="10">
        <f>AVERAGE(N31:N69)</f>
        <v>99.717948717948715</v>
      </c>
      <c r="Q70" s="10" t="s">
        <v>41</v>
      </c>
      <c r="R70" s="10">
        <f>AVERAGE(R31:R69)</f>
        <v>84.256410256410263</v>
      </c>
    </row>
    <row r="71" spans="1:19" x14ac:dyDescent="0.25">
      <c r="I71" s="10" t="s">
        <v>41</v>
      </c>
      <c r="J71" s="10">
        <f>AVERAGE(J31:J70)</f>
        <v>78.5</v>
      </c>
      <c r="M71" s="10" t="s">
        <v>39</v>
      </c>
      <c r="N71" s="10">
        <f>STDEVA(N31:N69)</f>
        <v>24.888116714131833</v>
      </c>
      <c r="Q71" s="10" t="s">
        <v>39</v>
      </c>
      <c r="R71" s="10">
        <f>STDEVA(R31:R69)</f>
        <v>17.187385136409201</v>
      </c>
    </row>
    <row r="72" spans="1:19" x14ac:dyDescent="0.25">
      <c r="I72" s="10" t="s">
        <v>39</v>
      </c>
      <c r="J72" s="10">
        <f>STDEVA(J31:J70)</f>
        <v>18.91546647045406</v>
      </c>
      <c r="M72" s="10" t="s">
        <v>36</v>
      </c>
      <c r="N72" s="10">
        <f>SUM(O31:O69)/COUNT(M31:M69)</f>
        <v>19.952662721893493</v>
      </c>
      <c r="Q72" s="10" t="s">
        <v>36</v>
      </c>
      <c r="R72" s="10">
        <f>SUM(S31:S69)/COUNT(Q31:Q69)</f>
        <v>13.301775147928996</v>
      </c>
    </row>
    <row r="73" spans="1:19" x14ac:dyDescent="0.25">
      <c r="I73" s="10" t="s">
        <v>36</v>
      </c>
      <c r="J73" s="10">
        <f>SUM(K31:K70)/COUNT(I31:I70)</f>
        <v>14.925000000000001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8"/>
  <sheetViews>
    <sheetView workbookViewId="0">
      <selection activeCell="B18" sqref="A1:D648"/>
    </sheetView>
  </sheetViews>
  <sheetFormatPr defaultRowHeight="15" x14ac:dyDescent="0.25"/>
  <cols>
    <col min="1" max="1" width="11.28515625" bestFit="1" customWidth="1"/>
    <col min="2" max="2" width="19.85546875" bestFit="1" customWidth="1"/>
    <col min="3" max="3" width="16.5703125" bestFit="1" customWidth="1"/>
    <col min="4" max="4" width="18.140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10001245</v>
      </c>
      <c r="B2" t="s">
        <v>4</v>
      </c>
      <c r="C2">
        <v>5</v>
      </c>
      <c r="D2">
        <v>4.6403518701889723</v>
      </c>
    </row>
    <row r="3" spans="1:4" x14ac:dyDescent="0.25">
      <c r="A3">
        <v>10001245</v>
      </c>
      <c r="B3" t="s">
        <v>5</v>
      </c>
      <c r="C3">
        <v>38</v>
      </c>
      <c r="D3">
        <v>28.283452706030531</v>
      </c>
    </row>
    <row r="4" spans="1:4" x14ac:dyDescent="0.25">
      <c r="A4">
        <v>10001245</v>
      </c>
      <c r="B4" t="s">
        <v>6</v>
      </c>
      <c r="C4">
        <v>104</v>
      </c>
      <c r="D4">
        <v>57.951113663730411</v>
      </c>
    </row>
    <row r="5" spans="1:4" x14ac:dyDescent="0.25">
      <c r="A5">
        <v>10001245</v>
      </c>
      <c r="B5" t="s">
        <v>7</v>
      </c>
      <c r="C5">
        <v>100</v>
      </c>
      <c r="D5">
        <v>67.949704105988062</v>
      </c>
    </row>
    <row r="6" spans="1:4" x14ac:dyDescent="0.25">
      <c r="A6">
        <v>10001245</v>
      </c>
      <c r="B6" t="s">
        <v>8</v>
      </c>
      <c r="C6">
        <v>80</v>
      </c>
      <c r="D6">
        <v>37.432457027880858</v>
      </c>
    </row>
    <row r="7" spans="1:4" x14ac:dyDescent="0.25">
      <c r="A7">
        <v>10001245</v>
      </c>
      <c r="B7" t="s">
        <v>9</v>
      </c>
      <c r="C7">
        <v>56</v>
      </c>
      <c r="D7">
        <v>27.685082447546591</v>
      </c>
    </row>
    <row r="8" spans="1:4" x14ac:dyDescent="0.25">
      <c r="A8">
        <v>10001245</v>
      </c>
      <c r="B8" t="s">
        <v>10</v>
      </c>
      <c r="C8">
        <v>20</v>
      </c>
      <c r="D8">
        <v>9.8092867068984777</v>
      </c>
    </row>
    <row r="9" spans="1:4" x14ac:dyDescent="0.25">
      <c r="A9">
        <v>10001245</v>
      </c>
      <c r="B9" t="s">
        <v>11</v>
      </c>
      <c r="C9">
        <v>6</v>
      </c>
      <c r="D9">
        <v>5.7333386767020409</v>
      </c>
    </row>
    <row r="10" spans="1:4" x14ac:dyDescent="0.25">
      <c r="A10">
        <v>10001245</v>
      </c>
      <c r="B10" t="s">
        <v>12</v>
      </c>
      <c r="C10">
        <v>51</v>
      </c>
      <c r="D10">
        <v>26.437396662334152</v>
      </c>
    </row>
    <row r="11" spans="1:4" x14ac:dyDescent="0.25">
      <c r="A11">
        <v>10001245</v>
      </c>
      <c r="B11" t="s">
        <v>13</v>
      </c>
      <c r="C11">
        <v>71</v>
      </c>
      <c r="D11">
        <v>31.518555038529222</v>
      </c>
    </row>
    <row r="12" spans="1:4" x14ac:dyDescent="0.25">
      <c r="A12">
        <v>10001245</v>
      </c>
      <c r="B12" t="s">
        <v>14</v>
      </c>
      <c r="C12">
        <v>88</v>
      </c>
      <c r="D12">
        <v>47.337889181157742</v>
      </c>
    </row>
    <row r="13" spans="1:4" x14ac:dyDescent="0.25">
      <c r="A13">
        <v>10001245</v>
      </c>
      <c r="B13" t="s">
        <v>15</v>
      </c>
      <c r="C13">
        <v>30</v>
      </c>
      <c r="D13">
        <v>18.838201292984841</v>
      </c>
    </row>
    <row r="14" spans="1:4" x14ac:dyDescent="0.25">
      <c r="A14">
        <v>10001245</v>
      </c>
      <c r="B14" t="s">
        <v>16</v>
      </c>
      <c r="C14">
        <v>10</v>
      </c>
      <c r="D14">
        <v>7.457744654016623</v>
      </c>
    </row>
    <row r="15" spans="1:4" x14ac:dyDescent="0.25">
      <c r="A15">
        <v>10001245</v>
      </c>
      <c r="B15" t="s">
        <v>17</v>
      </c>
      <c r="C15">
        <v>3</v>
      </c>
      <c r="D15">
        <v>3.323512211186185</v>
      </c>
    </row>
    <row r="16" spans="1:4" x14ac:dyDescent="0.25">
      <c r="A16">
        <v>10001245</v>
      </c>
      <c r="B16" t="s">
        <v>18</v>
      </c>
      <c r="C16">
        <v>71</v>
      </c>
      <c r="D16">
        <v>34.649447274763013</v>
      </c>
    </row>
    <row r="17" spans="1:4" x14ac:dyDescent="0.25">
      <c r="A17">
        <v>10001245</v>
      </c>
      <c r="B17" t="s">
        <v>19</v>
      </c>
      <c r="C17">
        <v>46</v>
      </c>
      <c r="D17">
        <v>24.073930482742728</v>
      </c>
    </row>
    <row r="18" spans="1:4" x14ac:dyDescent="0.25">
      <c r="A18">
        <v>10001245</v>
      </c>
      <c r="B18" t="s">
        <v>20</v>
      </c>
      <c r="C18">
        <v>84</v>
      </c>
      <c r="D18">
        <v>34.479814157908798</v>
      </c>
    </row>
    <row r="19" spans="1:4" x14ac:dyDescent="0.25">
      <c r="A19">
        <v>10003936</v>
      </c>
      <c r="B19" t="s">
        <v>4</v>
      </c>
      <c r="C19">
        <v>6</v>
      </c>
      <c r="D19">
        <v>4.4258322259810843</v>
      </c>
    </row>
    <row r="20" spans="1:4" x14ac:dyDescent="0.25">
      <c r="A20">
        <v>10003936</v>
      </c>
      <c r="B20" t="s">
        <v>5</v>
      </c>
      <c r="C20">
        <v>46</v>
      </c>
      <c r="D20">
        <v>27.199599608188741</v>
      </c>
    </row>
    <row r="21" spans="1:4" x14ac:dyDescent="0.25">
      <c r="A21">
        <v>10003936</v>
      </c>
      <c r="B21" t="s">
        <v>6</v>
      </c>
      <c r="C21">
        <v>92</v>
      </c>
      <c r="D21">
        <v>55.13920354286639</v>
      </c>
    </row>
    <row r="22" spans="1:4" x14ac:dyDescent="0.25">
      <c r="A22">
        <v>10003936</v>
      </c>
      <c r="B22" t="s">
        <v>7</v>
      </c>
      <c r="C22">
        <v>119</v>
      </c>
      <c r="D22">
        <v>49.891531295963993</v>
      </c>
    </row>
    <row r="23" spans="1:4" x14ac:dyDescent="0.25">
      <c r="A23">
        <v>10003936</v>
      </c>
      <c r="B23" t="s">
        <v>8</v>
      </c>
      <c r="C23">
        <v>86</v>
      </c>
      <c r="D23">
        <v>52.568307567947834</v>
      </c>
    </row>
    <row r="24" spans="1:4" x14ac:dyDescent="0.25">
      <c r="A24">
        <v>10003936</v>
      </c>
      <c r="B24" t="s">
        <v>9</v>
      </c>
      <c r="C24">
        <v>72</v>
      </c>
      <c r="D24">
        <v>31.550346026443279</v>
      </c>
    </row>
    <row r="25" spans="1:4" x14ac:dyDescent="0.25">
      <c r="A25">
        <v>10003936</v>
      </c>
      <c r="B25" t="s">
        <v>10</v>
      </c>
      <c r="C25">
        <v>22</v>
      </c>
      <c r="D25">
        <v>11.609905850965751</v>
      </c>
    </row>
    <row r="26" spans="1:4" x14ac:dyDescent="0.25">
      <c r="A26">
        <v>10003936</v>
      </c>
      <c r="B26" t="s">
        <v>11</v>
      </c>
      <c r="C26">
        <v>6</v>
      </c>
      <c r="D26">
        <v>5.2950303043850564</v>
      </c>
    </row>
    <row r="27" spans="1:4" x14ac:dyDescent="0.25">
      <c r="A27">
        <v>10003936</v>
      </c>
      <c r="B27" t="s">
        <v>12</v>
      </c>
      <c r="C27">
        <v>59</v>
      </c>
      <c r="D27">
        <v>30.265299124623851</v>
      </c>
    </row>
    <row r="28" spans="1:4" x14ac:dyDescent="0.25">
      <c r="A28">
        <v>10003936</v>
      </c>
      <c r="B28" t="s">
        <v>13</v>
      </c>
      <c r="C28">
        <v>100</v>
      </c>
      <c r="D28">
        <v>41.07973683690718</v>
      </c>
    </row>
    <row r="29" spans="1:4" x14ac:dyDescent="0.25">
      <c r="A29">
        <v>10003936</v>
      </c>
      <c r="B29" t="s">
        <v>14</v>
      </c>
      <c r="C29">
        <v>122</v>
      </c>
      <c r="D29">
        <v>68.774795601024906</v>
      </c>
    </row>
    <row r="30" spans="1:4" x14ac:dyDescent="0.25">
      <c r="A30">
        <v>10003936</v>
      </c>
      <c r="B30" t="s">
        <v>15</v>
      </c>
      <c r="C30">
        <v>45</v>
      </c>
      <c r="D30">
        <v>22.71071399863969</v>
      </c>
    </row>
    <row r="31" spans="1:4" x14ac:dyDescent="0.25">
      <c r="A31">
        <v>10003936</v>
      </c>
      <c r="B31" t="s">
        <v>16</v>
      </c>
      <c r="C31">
        <v>9</v>
      </c>
      <c r="D31">
        <v>6.4640050916473104</v>
      </c>
    </row>
    <row r="32" spans="1:4" x14ac:dyDescent="0.25">
      <c r="A32">
        <v>10003936</v>
      </c>
      <c r="B32" t="s">
        <v>17</v>
      </c>
      <c r="C32">
        <v>4</v>
      </c>
      <c r="D32">
        <v>4.6993900083690452</v>
      </c>
    </row>
    <row r="33" spans="1:4" x14ac:dyDescent="0.25">
      <c r="A33">
        <v>10003936</v>
      </c>
      <c r="B33" t="s">
        <v>18</v>
      </c>
      <c r="C33">
        <v>95</v>
      </c>
      <c r="D33">
        <v>42.784596527157561</v>
      </c>
    </row>
    <row r="34" spans="1:4" x14ac:dyDescent="0.25">
      <c r="A34">
        <v>10003936</v>
      </c>
      <c r="B34" t="s">
        <v>19</v>
      </c>
      <c r="C34">
        <v>74</v>
      </c>
      <c r="D34">
        <v>37.076591592775188</v>
      </c>
    </row>
    <row r="35" spans="1:4" x14ac:dyDescent="0.25">
      <c r="A35">
        <v>10003936</v>
      </c>
      <c r="B35" t="s">
        <v>20</v>
      </c>
      <c r="C35">
        <v>101</v>
      </c>
      <c r="D35">
        <v>57.236973884026753</v>
      </c>
    </row>
    <row r="36" spans="1:4" x14ac:dyDescent="0.25">
      <c r="A36">
        <v>10006503</v>
      </c>
      <c r="B36" t="s">
        <v>4</v>
      </c>
      <c r="C36">
        <v>3</v>
      </c>
      <c r="D36">
        <v>5.2257734965153748</v>
      </c>
    </row>
    <row r="37" spans="1:4" x14ac:dyDescent="0.25">
      <c r="A37">
        <v>10006503</v>
      </c>
      <c r="B37" t="s">
        <v>5</v>
      </c>
      <c r="C37">
        <v>41</v>
      </c>
      <c r="D37">
        <v>21.142520406718941</v>
      </c>
    </row>
    <row r="38" spans="1:4" x14ac:dyDescent="0.25">
      <c r="A38">
        <v>10006503</v>
      </c>
      <c r="B38" t="s">
        <v>6</v>
      </c>
      <c r="C38">
        <v>87</v>
      </c>
      <c r="D38">
        <v>46.736891713066832</v>
      </c>
    </row>
    <row r="39" spans="1:4" x14ac:dyDescent="0.25">
      <c r="A39">
        <v>10006503</v>
      </c>
      <c r="B39" t="s">
        <v>7</v>
      </c>
      <c r="C39">
        <v>82</v>
      </c>
      <c r="D39">
        <v>38.346146260469013</v>
      </c>
    </row>
    <row r="40" spans="1:4" x14ac:dyDescent="0.25">
      <c r="A40">
        <v>10006503</v>
      </c>
      <c r="B40" t="s">
        <v>8</v>
      </c>
      <c r="C40">
        <v>102</v>
      </c>
      <c r="D40">
        <v>45.78334586746363</v>
      </c>
    </row>
    <row r="41" spans="1:4" x14ac:dyDescent="0.25">
      <c r="A41">
        <v>10006503</v>
      </c>
      <c r="B41" t="s">
        <v>9</v>
      </c>
      <c r="C41">
        <v>76</v>
      </c>
      <c r="D41">
        <v>25.235726402289089</v>
      </c>
    </row>
    <row r="42" spans="1:4" x14ac:dyDescent="0.25">
      <c r="A42">
        <v>10006503</v>
      </c>
      <c r="B42" t="s">
        <v>10</v>
      </c>
      <c r="C42">
        <v>32</v>
      </c>
      <c r="D42">
        <v>15.47532729826643</v>
      </c>
    </row>
    <row r="43" spans="1:4" x14ac:dyDescent="0.25">
      <c r="A43">
        <v>10006503</v>
      </c>
      <c r="B43" t="s">
        <v>11</v>
      </c>
      <c r="C43">
        <v>9</v>
      </c>
      <c r="D43">
        <v>7.221282048661271</v>
      </c>
    </row>
    <row r="44" spans="1:4" x14ac:dyDescent="0.25">
      <c r="A44">
        <v>10006503</v>
      </c>
      <c r="B44" t="s">
        <v>12</v>
      </c>
      <c r="C44">
        <v>37</v>
      </c>
      <c r="D44">
        <v>24.26085488421597</v>
      </c>
    </row>
    <row r="45" spans="1:4" x14ac:dyDescent="0.25">
      <c r="A45">
        <v>10006503</v>
      </c>
      <c r="B45" t="s">
        <v>13</v>
      </c>
      <c r="C45">
        <v>95</v>
      </c>
      <c r="D45">
        <v>33.983399069124218</v>
      </c>
    </row>
    <row r="46" spans="1:4" x14ac:dyDescent="0.25">
      <c r="A46">
        <v>10006503</v>
      </c>
      <c r="B46" t="s">
        <v>14</v>
      </c>
      <c r="C46">
        <v>111</v>
      </c>
      <c r="D46">
        <v>47.543383181283261</v>
      </c>
    </row>
    <row r="47" spans="1:4" x14ac:dyDescent="0.25">
      <c r="A47">
        <v>10006503</v>
      </c>
      <c r="B47" t="s">
        <v>15</v>
      </c>
      <c r="C47">
        <v>38</v>
      </c>
      <c r="D47">
        <v>17.310105184941769</v>
      </c>
    </row>
    <row r="48" spans="1:4" x14ac:dyDescent="0.25">
      <c r="A48">
        <v>10006503</v>
      </c>
      <c r="B48" t="s">
        <v>16</v>
      </c>
      <c r="C48">
        <v>10</v>
      </c>
      <c r="D48">
        <v>7.7725330019300944</v>
      </c>
    </row>
    <row r="49" spans="1:4" x14ac:dyDescent="0.25">
      <c r="A49">
        <v>10006503</v>
      </c>
      <c r="B49" t="s">
        <v>17</v>
      </c>
      <c r="C49">
        <v>3</v>
      </c>
      <c r="D49">
        <v>4.009493814738728</v>
      </c>
    </row>
    <row r="50" spans="1:4" x14ac:dyDescent="0.25">
      <c r="A50">
        <v>10006503</v>
      </c>
      <c r="B50" t="s">
        <v>18</v>
      </c>
      <c r="C50">
        <v>74</v>
      </c>
      <c r="D50">
        <v>34.096416601762712</v>
      </c>
    </row>
    <row r="51" spans="1:4" x14ac:dyDescent="0.25">
      <c r="A51">
        <v>10006503</v>
      </c>
      <c r="B51" t="s">
        <v>19</v>
      </c>
      <c r="C51">
        <v>92</v>
      </c>
      <c r="D51">
        <v>41.245153490802792</v>
      </c>
    </row>
    <row r="52" spans="1:4" x14ac:dyDescent="0.25">
      <c r="A52">
        <v>10006503</v>
      </c>
      <c r="B52" t="s">
        <v>20</v>
      </c>
      <c r="C52">
        <v>83</v>
      </c>
      <c r="D52">
        <v>38.534244830769133</v>
      </c>
    </row>
    <row r="53" spans="1:4" x14ac:dyDescent="0.25">
      <c r="A53">
        <v>10009662</v>
      </c>
      <c r="B53" t="s">
        <v>4</v>
      </c>
      <c r="C53">
        <v>2</v>
      </c>
      <c r="D53">
        <v>2.0184237389562369</v>
      </c>
    </row>
    <row r="54" spans="1:4" x14ac:dyDescent="0.25">
      <c r="A54">
        <v>10009662</v>
      </c>
      <c r="B54" t="s">
        <v>5</v>
      </c>
      <c r="C54">
        <v>33</v>
      </c>
      <c r="D54">
        <v>18.311112100177251</v>
      </c>
    </row>
    <row r="55" spans="1:4" x14ac:dyDescent="0.25">
      <c r="A55">
        <v>10009662</v>
      </c>
      <c r="B55" t="s">
        <v>6</v>
      </c>
      <c r="C55">
        <v>90</v>
      </c>
      <c r="D55">
        <v>35.482180820783483</v>
      </c>
    </row>
    <row r="56" spans="1:4" x14ac:dyDescent="0.25">
      <c r="A56">
        <v>10009662</v>
      </c>
      <c r="B56" t="s">
        <v>7</v>
      </c>
      <c r="C56">
        <v>114</v>
      </c>
      <c r="D56">
        <v>40.536307869471628</v>
      </c>
    </row>
    <row r="57" spans="1:4" x14ac:dyDescent="0.25">
      <c r="A57">
        <v>10009662</v>
      </c>
      <c r="B57" t="s">
        <v>8</v>
      </c>
      <c r="C57">
        <v>105</v>
      </c>
      <c r="D57">
        <v>35.297528428997268</v>
      </c>
    </row>
    <row r="58" spans="1:4" x14ac:dyDescent="0.25">
      <c r="A58">
        <v>10009662</v>
      </c>
      <c r="B58" t="s">
        <v>9</v>
      </c>
      <c r="C58">
        <v>78</v>
      </c>
      <c r="D58">
        <v>31.70059051073056</v>
      </c>
    </row>
    <row r="59" spans="1:4" x14ac:dyDescent="0.25">
      <c r="A59">
        <v>10009662</v>
      </c>
      <c r="B59" t="s">
        <v>10</v>
      </c>
      <c r="C59">
        <v>28</v>
      </c>
      <c r="D59">
        <v>10.62987793091169</v>
      </c>
    </row>
    <row r="60" spans="1:4" x14ac:dyDescent="0.25">
      <c r="A60">
        <v>10009662</v>
      </c>
      <c r="B60" t="s">
        <v>11</v>
      </c>
      <c r="C60">
        <v>4</v>
      </c>
      <c r="D60">
        <v>2.5056146735361988</v>
      </c>
    </row>
    <row r="61" spans="1:4" x14ac:dyDescent="0.25">
      <c r="A61">
        <v>10009662</v>
      </c>
      <c r="B61" t="s">
        <v>13</v>
      </c>
      <c r="C61">
        <v>75</v>
      </c>
      <c r="D61">
        <v>30.77391842487485</v>
      </c>
    </row>
    <row r="62" spans="1:4" x14ac:dyDescent="0.25">
      <c r="A62">
        <v>10009662</v>
      </c>
      <c r="B62" t="s">
        <v>14</v>
      </c>
      <c r="C62">
        <v>82</v>
      </c>
      <c r="D62">
        <v>26.54948623448567</v>
      </c>
    </row>
    <row r="63" spans="1:4" x14ac:dyDescent="0.25">
      <c r="A63">
        <v>10009662</v>
      </c>
      <c r="B63" t="s">
        <v>15</v>
      </c>
      <c r="C63">
        <v>35</v>
      </c>
      <c r="D63">
        <v>13.039437510503181</v>
      </c>
    </row>
    <row r="64" spans="1:4" x14ac:dyDescent="0.25">
      <c r="A64">
        <v>10009662</v>
      </c>
      <c r="B64" t="s">
        <v>16</v>
      </c>
      <c r="C64">
        <v>4</v>
      </c>
      <c r="D64">
        <v>1.734127206385379</v>
      </c>
    </row>
    <row r="65" spans="1:4" x14ac:dyDescent="0.25">
      <c r="A65">
        <v>10009662</v>
      </c>
      <c r="B65" t="s">
        <v>21</v>
      </c>
      <c r="C65">
        <v>1</v>
      </c>
      <c r="D65">
        <v>0.43429804578488568</v>
      </c>
    </row>
    <row r="66" spans="1:4" x14ac:dyDescent="0.25">
      <c r="A66">
        <v>10009662</v>
      </c>
      <c r="B66" t="s">
        <v>17</v>
      </c>
      <c r="C66">
        <v>3</v>
      </c>
      <c r="D66">
        <v>1.1861253470642279</v>
      </c>
    </row>
    <row r="67" spans="1:4" x14ac:dyDescent="0.25">
      <c r="A67">
        <v>10009662</v>
      </c>
      <c r="B67" t="s">
        <v>18</v>
      </c>
      <c r="C67">
        <v>94</v>
      </c>
      <c r="D67">
        <v>29.780796716396761</v>
      </c>
    </row>
    <row r="68" spans="1:4" x14ac:dyDescent="0.25">
      <c r="A68">
        <v>10009662</v>
      </c>
      <c r="B68" t="s">
        <v>19</v>
      </c>
      <c r="C68">
        <v>100</v>
      </c>
      <c r="D68">
        <v>36.306486114076129</v>
      </c>
    </row>
    <row r="69" spans="1:4" x14ac:dyDescent="0.25">
      <c r="A69">
        <v>10009662</v>
      </c>
      <c r="B69" t="s">
        <v>20</v>
      </c>
      <c r="C69">
        <v>134</v>
      </c>
      <c r="D69">
        <v>47.235444642767888</v>
      </c>
    </row>
    <row r="70" spans="1:4" x14ac:dyDescent="0.25">
      <c r="A70">
        <v>10011641</v>
      </c>
      <c r="B70" t="s">
        <v>4</v>
      </c>
      <c r="C70">
        <v>1</v>
      </c>
      <c r="D70">
        <v>2.0005282848807981</v>
      </c>
    </row>
    <row r="71" spans="1:4" x14ac:dyDescent="0.25">
      <c r="A71">
        <v>10011641</v>
      </c>
      <c r="B71" t="s">
        <v>5</v>
      </c>
      <c r="C71">
        <v>31</v>
      </c>
      <c r="D71">
        <v>19.773849282973011</v>
      </c>
    </row>
    <row r="72" spans="1:4" x14ac:dyDescent="0.25">
      <c r="A72">
        <v>10011641</v>
      </c>
      <c r="B72" t="s">
        <v>6</v>
      </c>
      <c r="C72">
        <v>66</v>
      </c>
      <c r="D72">
        <v>34.089770114668802</v>
      </c>
    </row>
    <row r="73" spans="1:4" x14ac:dyDescent="0.25">
      <c r="A73">
        <v>10011641</v>
      </c>
      <c r="B73" t="s">
        <v>7</v>
      </c>
      <c r="C73">
        <v>110</v>
      </c>
      <c r="D73">
        <v>50.055675771382958</v>
      </c>
    </row>
    <row r="74" spans="1:4" x14ac:dyDescent="0.25">
      <c r="A74">
        <v>10011641</v>
      </c>
      <c r="B74" t="s">
        <v>8</v>
      </c>
      <c r="C74">
        <v>92</v>
      </c>
      <c r="D74">
        <v>37.948472252952897</v>
      </c>
    </row>
    <row r="75" spans="1:4" x14ac:dyDescent="0.25">
      <c r="A75">
        <v>10011641</v>
      </c>
      <c r="B75" t="s">
        <v>9</v>
      </c>
      <c r="C75">
        <v>57</v>
      </c>
      <c r="D75">
        <v>29.022718279691372</v>
      </c>
    </row>
    <row r="76" spans="1:4" x14ac:dyDescent="0.25">
      <c r="A76">
        <v>10011641</v>
      </c>
      <c r="B76" t="s">
        <v>10</v>
      </c>
      <c r="C76">
        <v>26</v>
      </c>
      <c r="D76">
        <v>13.263305834463999</v>
      </c>
    </row>
    <row r="77" spans="1:4" x14ac:dyDescent="0.25">
      <c r="A77">
        <v>10011641</v>
      </c>
      <c r="B77" t="s">
        <v>22</v>
      </c>
      <c r="C77">
        <v>1</v>
      </c>
      <c r="D77">
        <v>1.8567040506922621</v>
      </c>
    </row>
    <row r="78" spans="1:4" x14ac:dyDescent="0.25">
      <c r="A78">
        <v>10011641</v>
      </c>
      <c r="B78" t="s">
        <v>11</v>
      </c>
      <c r="C78">
        <v>3</v>
      </c>
      <c r="D78">
        <v>4.0056205566467646</v>
      </c>
    </row>
    <row r="79" spans="1:4" x14ac:dyDescent="0.25">
      <c r="A79">
        <v>10011641</v>
      </c>
      <c r="B79" t="s">
        <v>12</v>
      </c>
      <c r="C79">
        <v>65</v>
      </c>
      <c r="D79">
        <v>25.830321033165301</v>
      </c>
    </row>
    <row r="80" spans="1:4" x14ac:dyDescent="0.25">
      <c r="A80">
        <v>10011641</v>
      </c>
      <c r="B80" t="s">
        <v>13</v>
      </c>
      <c r="C80">
        <v>123</v>
      </c>
      <c r="D80">
        <v>41.595331209499513</v>
      </c>
    </row>
    <row r="81" spans="1:4" x14ac:dyDescent="0.25">
      <c r="A81">
        <v>10011641</v>
      </c>
      <c r="B81" t="s">
        <v>14</v>
      </c>
      <c r="C81">
        <v>141</v>
      </c>
      <c r="D81">
        <v>74.736096911784458</v>
      </c>
    </row>
    <row r="82" spans="1:4" x14ac:dyDescent="0.25">
      <c r="A82">
        <v>10011641</v>
      </c>
      <c r="B82" t="s">
        <v>15</v>
      </c>
      <c r="C82">
        <v>39</v>
      </c>
      <c r="D82">
        <v>18.773453023378199</v>
      </c>
    </row>
    <row r="83" spans="1:4" x14ac:dyDescent="0.25">
      <c r="A83">
        <v>10011641</v>
      </c>
      <c r="B83" t="s">
        <v>16</v>
      </c>
      <c r="C83">
        <v>2</v>
      </c>
      <c r="D83">
        <v>4.4926000960243666</v>
      </c>
    </row>
    <row r="84" spans="1:4" x14ac:dyDescent="0.25">
      <c r="A84">
        <v>10011641</v>
      </c>
      <c r="B84" t="s">
        <v>17</v>
      </c>
      <c r="C84">
        <v>5</v>
      </c>
      <c r="D84">
        <v>5.0805372755894709</v>
      </c>
    </row>
    <row r="85" spans="1:4" x14ac:dyDescent="0.25">
      <c r="A85">
        <v>10011641</v>
      </c>
      <c r="B85" t="s">
        <v>18</v>
      </c>
      <c r="C85">
        <v>84</v>
      </c>
      <c r="D85">
        <v>36.593534205977022</v>
      </c>
    </row>
    <row r="86" spans="1:4" x14ac:dyDescent="0.25">
      <c r="A86">
        <v>10011641</v>
      </c>
      <c r="B86" t="s">
        <v>19</v>
      </c>
      <c r="C86">
        <v>57</v>
      </c>
      <c r="D86">
        <v>27.573992172060748</v>
      </c>
    </row>
    <row r="87" spans="1:4" x14ac:dyDescent="0.25">
      <c r="A87">
        <v>10011641</v>
      </c>
      <c r="B87" t="s">
        <v>20</v>
      </c>
      <c r="C87">
        <v>74</v>
      </c>
      <c r="D87">
        <v>37.161174145237602</v>
      </c>
    </row>
    <row r="88" spans="1:4" x14ac:dyDescent="0.25">
      <c r="A88">
        <v>10014010</v>
      </c>
      <c r="B88" t="s">
        <v>4</v>
      </c>
      <c r="C88">
        <v>3</v>
      </c>
      <c r="D88">
        <v>3.2433115061725641</v>
      </c>
    </row>
    <row r="89" spans="1:4" x14ac:dyDescent="0.25">
      <c r="A89">
        <v>10014010</v>
      </c>
      <c r="B89" t="s">
        <v>5</v>
      </c>
      <c r="C89">
        <v>41</v>
      </c>
      <c r="D89">
        <v>35.766112756342601</v>
      </c>
    </row>
    <row r="90" spans="1:4" x14ac:dyDescent="0.25">
      <c r="A90">
        <v>10014010</v>
      </c>
      <c r="B90" t="s">
        <v>6</v>
      </c>
      <c r="C90">
        <v>109</v>
      </c>
      <c r="D90">
        <v>70.900518340465467</v>
      </c>
    </row>
    <row r="91" spans="1:4" x14ac:dyDescent="0.25">
      <c r="A91">
        <v>10014010</v>
      </c>
      <c r="B91" t="s">
        <v>7</v>
      </c>
      <c r="C91">
        <v>103</v>
      </c>
      <c r="D91">
        <v>85.193885257684229</v>
      </c>
    </row>
    <row r="92" spans="1:4" x14ac:dyDescent="0.25">
      <c r="A92">
        <v>10014010</v>
      </c>
      <c r="B92" t="s">
        <v>8</v>
      </c>
      <c r="C92">
        <v>100</v>
      </c>
      <c r="D92">
        <v>70.407870491246612</v>
      </c>
    </row>
    <row r="93" spans="1:4" x14ac:dyDescent="0.25">
      <c r="A93">
        <v>10014010</v>
      </c>
      <c r="B93" t="s">
        <v>9</v>
      </c>
      <c r="C93">
        <v>49</v>
      </c>
      <c r="D93">
        <v>39.660390910691461</v>
      </c>
    </row>
    <row r="94" spans="1:4" x14ac:dyDescent="0.25">
      <c r="A94">
        <v>10014010</v>
      </c>
      <c r="B94" t="s">
        <v>10</v>
      </c>
      <c r="C94">
        <v>27</v>
      </c>
      <c r="D94">
        <v>20.23360650604193</v>
      </c>
    </row>
    <row r="95" spans="1:4" x14ac:dyDescent="0.25">
      <c r="A95">
        <v>10014010</v>
      </c>
      <c r="B95" t="s">
        <v>11</v>
      </c>
      <c r="C95">
        <v>8</v>
      </c>
      <c r="D95">
        <v>8.605918134143602</v>
      </c>
    </row>
    <row r="96" spans="1:4" x14ac:dyDescent="0.25">
      <c r="A96">
        <v>10014010</v>
      </c>
      <c r="B96" t="s">
        <v>12</v>
      </c>
      <c r="C96">
        <v>52</v>
      </c>
      <c r="D96">
        <v>27.96621657540145</v>
      </c>
    </row>
    <row r="97" spans="1:4" x14ac:dyDescent="0.25">
      <c r="A97">
        <v>10014010</v>
      </c>
      <c r="B97" t="s">
        <v>13</v>
      </c>
      <c r="C97">
        <v>87</v>
      </c>
      <c r="D97">
        <v>44.004867674138787</v>
      </c>
    </row>
    <row r="98" spans="1:4" x14ac:dyDescent="0.25">
      <c r="A98">
        <v>10014010</v>
      </c>
      <c r="B98" t="s">
        <v>14</v>
      </c>
      <c r="C98">
        <v>85</v>
      </c>
      <c r="D98">
        <v>48.826201875820878</v>
      </c>
    </row>
    <row r="99" spans="1:4" x14ac:dyDescent="0.25">
      <c r="A99">
        <v>10014010</v>
      </c>
      <c r="B99" t="s">
        <v>15</v>
      </c>
      <c r="C99">
        <v>44</v>
      </c>
      <c r="D99">
        <v>35.809041966744971</v>
      </c>
    </row>
    <row r="100" spans="1:4" x14ac:dyDescent="0.25">
      <c r="A100">
        <v>10014010</v>
      </c>
      <c r="B100" t="s">
        <v>16</v>
      </c>
      <c r="C100">
        <v>6</v>
      </c>
      <c r="D100">
        <v>8.9261532059656705</v>
      </c>
    </row>
    <row r="101" spans="1:4" x14ac:dyDescent="0.25">
      <c r="A101">
        <v>10014010</v>
      </c>
      <c r="B101" t="s">
        <v>17</v>
      </c>
      <c r="C101">
        <v>6</v>
      </c>
      <c r="D101">
        <v>5.6108703511732871</v>
      </c>
    </row>
    <row r="102" spans="1:4" x14ac:dyDescent="0.25">
      <c r="A102">
        <v>10014010</v>
      </c>
      <c r="B102" t="s">
        <v>18</v>
      </c>
      <c r="C102">
        <v>80</v>
      </c>
      <c r="D102">
        <v>53.889274461258907</v>
      </c>
    </row>
    <row r="103" spans="1:4" x14ac:dyDescent="0.25">
      <c r="A103">
        <v>10014010</v>
      </c>
      <c r="B103" t="s">
        <v>19</v>
      </c>
      <c r="C103">
        <v>84</v>
      </c>
      <c r="D103">
        <v>59.373814242674378</v>
      </c>
    </row>
    <row r="104" spans="1:4" x14ac:dyDescent="0.25">
      <c r="A104">
        <v>10014010</v>
      </c>
      <c r="B104" t="s">
        <v>20</v>
      </c>
      <c r="C104">
        <v>81</v>
      </c>
      <c r="D104">
        <v>56.330518869662207</v>
      </c>
    </row>
    <row r="105" spans="1:4" x14ac:dyDescent="0.25">
      <c r="A105">
        <v>10014255</v>
      </c>
      <c r="B105" t="s">
        <v>5</v>
      </c>
      <c r="C105">
        <v>41</v>
      </c>
      <c r="D105">
        <v>22.751674061524909</v>
      </c>
    </row>
    <row r="106" spans="1:4" x14ac:dyDescent="0.25">
      <c r="A106">
        <v>10014255</v>
      </c>
      <c r="B106" t="s">
        <v>6</v>
      </c>
      <c r="C106">
        <v>81</v>
      </c>
      <c r="D106">
        <v>39.612584573393761</v>
      </c>
    </row>
    <row r="107" spans="1:4" x14ac:dyDescent="0.25">
      <c r="A107">
        <v>10014255</v>
      </c>
      <c r="B107" t="s">
        <v>7</v>
      </c>
      <c r="C107">
        <v>121</v>
      </c>
      <c r="D107">
        <v>50.779446424757857</v>
      </c>
    </row>
    <row r="108" spans="1:4" x14ac:dyDescent="0.25">
      <c r="A108">
        <v>10014255</v>
      </c>
      <c r="B108" t="s">
        <v>8</v>
      </c>
      <c r="C108">
        <v>88</v>
      </c>
      <c r="D108">
        <v>35.398292618470059</v>
      </c>
    </row>
    <row r="109" spans="1:4" x14ac:dyDescent="0.25">
      <c r="A109">
        <v>10014255</v>
      </c>
      <c r="B109" t="s">
        <v>9</v>
      </c>
      <c r="C109">
        <v>74</v>
      </c>
      <c r="D109">
        <v>32.402873526172193</v>
      </c>
    </row>
    <row r="110" spans="1:4" x14ac:dyDescent="0.25">
      <c r="A110">
        <v>10014255</v>
      </c>
      <c r="B110" t="s">
        <v>10</v>
      </c>
      <c r="C110">
        <v>38</v>
      </c>
      <c r="D110">
        <v>23.196308957379621</v>
      </c>
    </row>
    <row r="111" spans="1:4" x14ac:dyDescent="0.25">
      <c r="A111">
        <v>10014255</v>
      </c>
      <c r="B111" t="s">
        <v>11</v>
      </c>
      <c r="C111">
        <v>12</v>
      </c>
      <c r="D111">
        <v>9.6561034785266475</v>
      </c>
    </row>
    <row r="112" spans="1:4" x14ac:dyDescent="0.25">
      <c r="A112">
        <v>10014255</v>
      </c>
      <c r="B112" t="s">
        <v>12</v>
      </c>
      <c r="C112">
        <v>39</v>
      </c>
      <c r="D112">
        <v>23.531928164674401</v>
      </c>
    </row>
    <row r="113" spans="1:4" x14ac:dyDescent="0.25">
      <c r="A113">
        <v>10014255</v>
      </c>
      <c r="B113" t="s">
        <v>13</v>
      </c>
      <c r="C113">
        <v>95</v>
      </c>
      <c r="D113">
        <v>37.306381660639893</v>
      </c>
    </row>
    <row r="114" spans="1:4" x14ac:dyDescent="0.25">
      <c r="A114">
        <v>10014255</v>
      </c>
      <c r="B114" t="s">
        <v>14</v>
      </c>
      <c r="C114">
        <v>132</v>
      </c>
      <c r="D114">
        <v>46.437192079308957</v>
      </c>
    </row>
    <row r="115" spans="1:4" x14ac:dyDescent="0.25">
      <c r="A115">
        <v>10014255</v>
      </c>
      <c r="B115" t="s">
        <v>15</v>
      </c>
      <c r="C115">
        <v>42</v>
      </c>
      <c r="D115">
        <v>15.33275327002668</v>
      </c>
    </row>
    <row r="116" spans="1:4" x14ac:dyDescent="0.25">
      <c r="A116">
        <v>10014255</v>
      </c>
      <c r="B116" t="s">
        <v>16</v>
      </c>
      <c r="C116">
        <v>10</v>
      </c>
      <c r="D116">
        <v>7.6594772484456994</v>
      </c>
    </row>
    <row r="117" spans="1:4" x14ac:dyDescent="0.25">
      <c r="A117">
        <v>10014255</v>
      </c>
      <c r="B117" t="s">
        <v>17</v>
      </c>
      <c r="C117">
        <v>5</v>
      </c>
      <c r="D117">
        <v>7.1473492424046503</v>
      </c>
    </row>
    <row r="118" spans="1:4" x14ac:dyDescent="0.25">
      <c r="A118">
        <v>10014255</v>
      </c>
      <c r="B118" t="s">
        <v>18</v>
      </c>
      <c r="C118">
        <v>77</v>
      </c>
      <c r="D118">
        <v>31.932066294303151</v>
      </c>
    </row>
    <row r="119" spans="1:4" x14ac:dyDescent="0.25">
      <c r="A119">
        <v>10014255</v>
      </c>
      <c r="B119" t="s">
        <v>19</v>
      </c>
      <c r="C119">
        <v>76</v>
      </c>
      <c r="D119">
        <v>31.63278876521839</v>
      </c>
    </row>
    <row r="120" spans="1:4" x14ac:dyDescent="0.25">
      <c r="A120">
        <v>10014255</v>
      </c>
      <c r="B120" t="s">
        <v>20</v>
      </c>
      <c r="C120">
        <v>82</v>
      </c>
      <c r="D120">
        <v>36.312287946839078</v>
      </c>
    </row>
    <row r="121" spans="1:4" x14ac:dyDescent="0.25">
      <c r="A121">
        <v>10014704</v>
      </c>
      <c r="B121" t="s">
        <v>4</v>
      </c>
      <c r="C121">
        <v>4</v>
      </c>
      <c r="D121">
        <v>6.0350695356110018</v>
      </c>
    </row>
    <row r="122" spans="1:4" x14ac:dyDescent="0.25">
      <c r="A122">
        <v>10014704</v>
      </c>
      <c r="B122" t="s">
        <v>5</v>
      </c>
      <c r="C122">
        <v>48</v>
      </c>
      <c r="D122">
        <v>22.629449549895121</v>
      </c>
    </row>
    <row r="123" spans="1:4" x14ac:dyDescent="0.25">
      <c r="A123">
        <v>10014704</v>
      </c>
      <c r="B123" t="s">
        <v>7</v>
      </c>
      <c r="C123">
        <v>97</v>
      </c>
      <c r="D123">
        <v>39.65373177788377</v>
      </c>
    </row>
    <row r="124" spans="1:4" x14ac:dyDescent="0.25">
      <c r="A124">
        <v>10014704</v>
      </c>
      <c r="B124" t="s">
        <v>8</v>
      </c>
      <c r="C124">
        <v>108</v>
      </c>
      <c r="D124">
        <v>55.240894475948792</v>
      </c>
    </row>
    <row r="125" spans="1:4" x14ac:dyDescent="0.25">
      <c r="A125">
        <v>10014704</v>
      </c>
      <c r="B125" t="s">
        <v>9</v>
      </c>
      <c r="C125">
        <v>55</v>
      </c>
      <c r="D125">
        <v>27.869202874369631</v>
      </c>
    </row>
    <row r="126" spans="1:4" x14ac:dyDescent="0.25">
      <c r="A126">
        <v>10014704</v>
      </c>
      <c r="B126" t="s">
        <v>10</v>
      </c>
      <c r="C126">
        <v>39</v>
      </c>
      <c r="D126">
        <v>21.252177753481639</v>
      </c>
    </row>
    <row r="127" spans="1:4" x14ac:dyDescent="0.25">
      <c r="A127">
        <v>10014704</v>
      </c>
      <c r="B127" t="s">
        <v>11</v>
      </c>
      <c r="C127">
        <v>14</v>
      </c>
      <c r="D127">
        <v>9.5420347949626994</v>
      </c>
    </row>
    <row r="128" spans="1:4" x14ac:dyDescent="0.25">
      <c r="A128">
        <v>10014704</v>
      </c>
      <c r="B128" t="s">
        <v>12</v>
      </c>
      <c r="C128">
        <v>41</v>
      </c>
      <c r="D128">
        <v>23.181193046219981</v>
      </c>
    </row>
    <row r="129" spans="1:4" x14ac:dyDescent="0.25">
      <c r="A129">
        <v>10014704</v>
      </c>
      <c r="B129" t="s">
        <v>13</v>
      </c>
      <c r="C129">
        <v>83</v>
      </c>
      <c r="D129">
        <v>43.712586713400263</v>
      </c>
    </row>
    <row r="130" spans="1:4" x14ac:dyDescent="0.25">
      <c r="A130">
        <v>10014704</v>
      </c>
      <c r="B130" t="s">
        <v>14</v>
      </c>
      <c r="C130">
        <v>106</v>
      </c>
      <c r="D130">
        <v>57.747643627027742</v>
      </c>
    </row>
    <row r="131" spans="1:4" x14ac:dyDescent="0.25">
      <c r="A131">
        <v>10014704</v>
      </c>
      <c r="B131" t="s">
        <v>15</v>
      </c>
      <c r="C131">
        <v>49</v>
      </c>
      <c r="D131">
        <v>27.503997337354409</v>
      </c>
    </row>
    <row r="132" spans="1:4" x14ac:dyDescent="0.25">
      <c r="A132">
        <v>10014704</v>
      </c>
      <c r="B132" t="s">
        <v>16</v>
      </c>
      <c r="C132">
        <v>9</v>
      </c>
      <c r="D132">
        <v>7.3246318725535247</v>
      </c>
    </row>
    <row r="133" spans="1:4" x14ac:dyDescent="0.25">
      <c r="A133">
        <v>10014704</v>
      </c>
      <c r="B133" t="s">
        <v>17</v>
      </c>
      <c r="C133">
        <v>7</v>
      </c>
      <c r="D133">
        <v>5.9746827404258909</v>
      </c>
    </row>
    <row r="134" spans="1:4" x14ac:dyDescent="0.25">
      <c r="A134">
        <v>10014704</v>
      </c>
      <c r="B134" t="s">
        <v>18</v>
      </c>
      <c r="C134">
        <v>80</v>
      </c>
      <c r="D134">
        <v>44.31112000195192</v>
      </c>
    </row>
    <row r="135" spans="1:4" x14ac:dyDescent="0.25">
      <c r="A135">
        <v>10014704</v>
      </c>
      <c r="B135" t="s">
        <v>19</v>
      </c>
      <c r="C135">
        <v>99</v>
      </c>
      <c r="D135">
        <v>41.812339659910222</v>
      </c>
    </row>
    <row r="136" spans="1:4" x14ac:dyDescent="0.25">
      <c r="A136">
        <v>10014704</v>
      </c>
      <c r="B136" t="s">
        <v>20</v>
      </c>
      <c r="C136">
        <v>90</v>
      </c>
      <c r="D136">
        <v>37.33179042130449</v>
      </c>
    </row>
    <row r="137" spans="1:4" x14ac:dyDescent="0.25">
      <c r="A137">
        <v>10024737</v>
      </c>
      <c r="B137" t="s">
        <v>4</v>
      </c>
      <c r="C137">
        <v>6</v>
      </c>
      <c r="D137">
        <v>3.872748239401822</v>
      </c>
    </row>
    <row r="138" spans="1:4" x14ac:dyDescent="0.25">
      <c r="A138">
        <v>10024737</v>
      </c>
      <c r="B138" t="s">
        <v>5</v>
      </c>
      <c r="C138">
        <v>33</v>
      </c>
      <c r="D138">
        <v>28.128654181286731</v>
      </c>
    </row>
    <row r="139" spans="1:4" x14ac:dyDescent="0.25">
      <c r="A139">
        <v>10024737</v>
      </c>
      <c r="B139" t="s">
        <v>6</v>
      </c>
      <c r="C139">
        <v>111</v>
      </c>
      <c r="D139">
        <v>62.004724270723671</v>
      </c>
    </row>
    <row r="140" spans="1:4" x14ac:dyDescent="0.25">
      <c r="A140">
        <v>10024737</v>
      </c>
      <c r="B140" t="s">
        <v>7</v>
      </c>
      <c r="C140">
        <v>102</v>
      </c>
      <c r="D140">
        <v>52.583117394984932</v>
      </c>
    </row>
    <row r="141" spans="1:4" x14ac:dyDescent="0.25">
      <c r="A141">
        <v>10024737</v>
      </c>
      <c r="B141" t="s">
        <v>8</v>
      </c>
      <c r="C141">
        <v>68</v>
      </c>
      <c r="D141">
        <v>28.137474566738849</v>
      </c>
    </row>
    <row r="142" spans="1:4" x14ac:dyDescent="0.25">
      <c r="A142">
        <v>10024737</v>
      </c>
      <c r="B142" t="s">
        <v>9</v>
      </c>
      <c r="C142">
        <v>55</v>
      </c>
      <c r="D142">
        <v>35.780683411288393</v>
      </c>
    </row>
    <row r="143" spans="1:4" x14ac:dyDescent="0.25">
      <c r="A143">
        <v>10024737</v>
      </c>
      <c r="B143" t="s">
        <v>10</v>
      </c>
      <c r="C143">
        <v>25</v>
      </c>
      <c r="D143">
        <v>15.44224169804936</v>
      </c>
    </row>
    <row r="144" spans="1:4" x14ac:dyDescent="0.25">
      <c r="A144">
        <v>10024737</v>
      </c>
      <c r="B144" t="s">
        <v>11</v>
      </c>
      <c r="C144">
        <v>2</v>
      </c>
      <c r="D144">
        <v>3.2569147811388439</v>
      </c>
    </row>
    <row r="145" spans="1:4" x14ac:dyDescent="0.25">
      <c r="A145">
        <v>10024737</v>
      </c>
      <c r="B145" t="s">
        <v>12</v>
      </c>
      <c r="C145">
        <v>51</v>
      </c>
      <c r="D145">
        <v>32.908280496349789</v>
      </c>
    </row>
    <row r="146" spans="1:4" x14ac:dyDescent="0.25">
      <c r="A146">
        <v>10024737</v>
      </c>
      <c r="B146" t="s">
        <v>13</v>
      </c>
      <c r="C146">
        <v>59</v>
      </c>
      <c r="D146">
        <v>29.37356640435285</v>
      </c>
    </row>
    <row r="147" spans="1:4" x14ac:dyDescent="0.25">
      <c r="A147">
        <v>10024737</v>
      </c>
      <c r="B147" t="s">
        <v>14</v>
      </c>
      <c r="C147">
        <v>106</v>
      </c>
      <c r="D147">
        <v>35.933201216429687</v>
      </c>
    </row>
    <row r="148" spans="1:4" x14ac:dyDescent="0.25">
      <c r="A148">
        <v>10024737</v>
      </c>
      <c r="B148" t="s">
        <v>15</v>
      </c>
      <c r="C148">
        <v>39</v>
      </c>
      <c r="D148">
        <v>26.32299852712223</v>
      </c>
    </row>
    <row r="149" spans="1:4" x14ac:dyDescent="0.25">
      <c r="A149">
        <v>10024737</v>
      </c>
      <c r="B149" t="s">
        <v>16</v>
      </c>
      <c r="C149">
        <v>8</v>
      </c>
      <c r="D149">
        <v>6.5540629335609397</v>
      </c>
    </row>
    <row r="150" spans="1:4" x14ac:dyDescent="0.25">
      <c r="A150">
        <v>10024737</v>
      </c>
      <c r="B150" t="s">
        <v>23</v>
      </c>
      <c r="C150">
        <v>1</v>
      </c>
      <c r="D150">
        <v>1.406875737771637</v>
      </c>
    </row>
    <row r="151" spans="1:4" x14ac:dyDescent="0.25">
      <c r="A151">
        <v>10024737</v>
      </c>
      <c r="B151" t="s">
        <v>18</v>
      </c>
      <c r="C151">
        <v>82</v>
      </c>
      <c r="D151">
        <v>50.010496768199133</v>
      </c>
    </row>
    <row r="152" spans="1:4" x14ac:dyDescent="0.25">
      <c r="A152">
        <v>10024737</v>
      </c>
      <c r="B152" t="s">
        <v>19</v>
      </c>
      <c r="C152">
        <v>129</v>
      </c>
      <c r="D152">
        <v>54.415887070742713</v>
      </c>
    </row>
    <row r="153" spans="1:4" x14ac:dyDescent="0.25">
      <c r="A153">
        <v>10024737</v>
      </c>
      <c r="B153" t="s">
        <v>20</v>
      </c>
      <c r="C153">
        <v>96</v>
      </c>
      <c r="D153">
        <v>41.648881594027017</v>
      </c>
    </row>
    <row r="154" spans="1:4" x14ac:dyDescent="0.25">
      <c r="A154">
        <v>10024880</v>
      </c>
      <c r="B154" t="s">
        <v>4</v>
      </c>
      <c r="C154">
        <v>2</v>
      </c>
      <c r="D154">
        <v>1.8390432901085261</v>
      </c>
    </row>
    <row r="155" spans="1:4" x14ac:dyDescent="0.25">
      <c r="A155">
        <v>10024880</v>
      </c>
      <c r="B155" t="s">
        <v>6</v>
      </c>
      <c r="C155">
        <v>100</v>
      </c>
      <c r="D155">
        <v>47.459145071699552</v>
      </c>
    </row>
    <row r="156" spans="1:4" x14ac:dyDescent="0.25">
      <c r="A156">
        <v>10024880</v>
      </c>
      <c r="B156" t="s">
        <v>7</v>
      </c>
      <c r="C156">
        <v>120</v>
      </c>
      <c r="D156">
        <v>47.697762819118942</v>
      </c>
    </row>
    <row r="157" spans="1:4" x14ac:dyDescent="0.25">
      <c r="A157">
        <v>10024880</v>
      </c>
      <c r="B157" t="s">
        <v>8</v>
      </c>
      <c r="C157">
        <v>112</v>
      </c>
      <c r="D157">
        <v>47.091762759721178</v>
      </c>
    </row>
    <row r="158" spans="1:4" x14ac:dyDescent="0.25">
      <c r="A158">
        <v>10024880</v>
      </c>
      <c r="B158" t="s">
        <v>9</v>
      </c>
      <c r="C158">
        <v>85</v>
      </c>
      <c r="D158">
        <v>40.234158791318507</v>
      </c>
    </row>
    <row r="159" spans="1:4" x14ac:dyDescent="0.25">
      <c r="A159">
        <v>10024880</v>
      </c>
      <c r="B159" t="s">
        <v>10</v>
      </c>
      <c r="C159">
        <v>34</v>
      </c>
      <c r="D159">
        <v>14.71231386351681</v>
      </c>
    </row>
    <row r="160" spans="1:4" x14ac:dyDescent="0.25">
      <c r="A160">
        <v>10024880</v>
      </c>
      <c r="B160" t="s">
        <v>11</v>
      </c>
      <c r="C160">
        <v>6</v>
      </c>
      <c r="D160">
        <v>5.6652716600295827</v>
      </c>
    </row>
    <row r="161" spans="1:4" x14ac:dyDescent="0.25">
      <c r="A161">
        <v>10024880</v>
      </c>
      <c r="B161" t="s">
        <v>12</v>
      </c>
      <c r="C161">
        <v>71</v>
      </c>
      <c r="D161">
        <v>47.442277596600263</v>
      </c>
    </row>
    <row r="162" spans="1:4" x14ac:dyDescent="0.25">
      <c r="A162">
        <v>10024880</v>
      </c>
      <c r="B162" t="s">
        <v>13</v>
      </c>
      <c r="C162">
        <v>82</v>
      </c>
      <c r="D162">
        <v>29.12679465437521</v>
      </c>
    </row>
    <row r="163" spans="1:4" x14ac:dyDescent="0.25">
      <c r="A163">
        <v>10024880</v>
      </c>
      <c r="B163" t="s">
        <v>14</v>
      </c>
      <c r="C163">
        <v>100</v>
      </c>
      <c r="D163">
        <v>39.355258184927393</v>
      </c>
    </row>
    <row r="164" spans="1:4" x14ac:dyDescent="0.25">
      <c r="A164">
        <v>10024880</v>
      </c>
      <c r="B164" t="s">
        <v>15</v>
      </c>
      <c r="C164">
        <v>41</v>
      </c>
      <c r="D164">
        <v>20.528273285714828</v>
      </c>
    </row>
    <row r="165" spans="1:4" x14ac:dyDescent="0.25">
      <c r="A165">
        <v>10024880</v>
      </c>
      <c r="B165" t="s">
        <v>16</v>
      </c>
      <c r="C165">
        <v>11</v>
      </c>
      <c r="D165">
        <v>21.612534115561111</v>
      </c>
    </row>
    <row r="166" spans="1:4" x14ac:dyDescent="0.25">
      <c r="A166">
        <v>10024880</v>
      </c>
      <c r="B166" t="s">
        <v>17</v>
      </c>
      <c r="C166">
        <v>1</v>
      </c>
      <c r="D166">
        <v>1.651791413527516</v>
      </c>
    </row>
    <row r="167" spans="1:4" x14ac:dyDescent="0.25">
      <c r="A167">
        <v>10024880</v>
      </c>
      <c r="B167" t="s">
        <v>18</v>
      </c>
      <c r="C167">
        <v>85</v>
      </c>
      <c r="D167">
        <v>45.317438957613149</v>
      </c>
    </row>
    <row r="168" spans="1:4" x14ac:dyDescent="0.25">
      <c r="A168">
        <v>10024880</v>
      </c>
      <c r="B168" t="s">
        <v>19</v>
      </c>
      <c r="C168">
        <v>95</v>
      </c>
      <c r="D168">
        <v>43.895855775662497</v>
      </c>
    </row>
    <row r="169" spans="1:4" x14ac:dyDescent="0.25">
      <c r="A169">
        <v>10024880</v>
      </c>
      <c r="B169" t="s">
        <v>20</v>
      </c>
      <c r="C169">
        <v>109</v>
      </c>
      <c r="D169">
        <v>49.956264783839117</v>
      </c>
    </row>
    <row r="170" spans="1:4" x14ac:dyDescent="0.25">
      <c r="A170">
        <v>10025537</v>
      </c>
      <c r="B170" t="s">
        <v>4</v>
      </c>
      <c r="C170">
        <v>1</v>
      </c>
      <c r="D170">
        <v>2.9354275224460888</v>
      </c>
    </row>
    <row r="171" spans="1:4" x14ac:dyDescent="0.25">
      <c r="A171">
        <v>10025537</v>
      </c>
      <c r="B171" t="s">
        <v>5</v>
      </c>
      <c r="C171">
        <v>36</v>
      </c>
      <c r="D171">
        <v>26.831892046695231</v>
      </c>
    </row>
    <row r="172" spans="1:4" x14ac:dyDescent="0.25">
      <c r="A172">
        <v>10025537</v>
      </c>
      <c r="B172" t="s">
        <v>6</v>
      </c>
      <c r="C172">
        <v>88</v>
      </c>
      <c r="D172">
        <v>49.421934215856709</v>
      </c>
    </row>
    <row r="173" spans="1:4" x14ac:dyDescent="0.25">
      <c r="A173">
        <v>10025537</v>
      </c>
      <c r="B173" t="s">
        <v>7</v>
      </c>
      <c r="C173">
        <v>115</v>
      </c>
      <c r="D173">
        <v>60.830976044197961</v>
      </c>
    </row>
    <row r="174" spans="1:4" x14ac:dyDescent="0.25">
      <c r="A174">
        <v>10025537</v>
      </c>
      <c r="B174" t="s">
        <v>8</v>
      </c>
      <c r="C174">
        <v>89</v>
      </c>
      <c r="D174">
        <v>48.872337749533919</v>
      </c>
    </row>
    <row r="175" spans="1:4" x14ac:dyDescent="0.25">
      <c r="A175">
        <v>10025537</v>
      </c>
      <c r="B175" t="s">
        <v>9</v>
      </c>
      <c r="C175">
        <v>54</v>
      </c>
      <c r="D175">
        <v>28.040714576917619</v>
      </c>
    </row>
    <row r="176" spans="1:4" x14ac:dyDescent="0.25">
      <c r="A176">
        <v>10025537</v>
      </c>
      <c r="B176" t="s">
        <v>10</v>
      </c>
      <c r="C176">
        <v>21</v>
      </c>
      <c r="D176">
        <v>11.17139938594438</v>
      </c>
    </row>
    <row r="177" spans="1:4" x14ac:dyDescent="0.25">
      <c r="A177">
        <v>10025537</v>
      </c>
      <c r="B177" t="s">
        <v>11</v>
      </c>
      <c r="C177">
        <v>11</v>
      </c>
      <c r="D177">
        <v>10.636823813552169</v>
      </c>
    </row>
    <row r="178" spans="1:4" x14ac:dyDescent="0.25">
      <c r="A178">
        <v>10025537</v>
      </c>
      <c r="B178" t="s">
        <v>12</v>
      </c>
      <c r="C178">
        <v>49</v>
      </c>
      <c r="D178">
        <v>24.784187366546309</v>
      </c>
    </row>
    <row r="179" spans="1:4" x14ac:dyDescent="0.25">
      <c r="A179">
        <v>10025537</v>
      </c>
      <c r="B179" t="s">
        <v>13</v>
      </c>
      <c r="C179">
        <v>101</v>
      </c>
      <c r="D179">
        <v>50.947864144898347</v>
      </c>
    </row>
    <row r="180" spans="1:4" x14ac:dyDescent="0.25">
      <c r="A180">
        <v>10025537</v>
      </c>
      <c r="B180" t="s">
        <v>14</v>
      </c>
      <c r="C180">
        <v>115</v>
      </c>
      <c r="D180">
        <v>49.419741779866627</v>
      </c>
    </row>
    <row r="181" spans="1:4" x14ac:dyDescent="0.25">
      <c r="A181">
        <v>10025537</v>
      </c>
      <c r="B181" t="s">
        <v>15</v>
      </c>
      <c r="C181">
        <v>33</v>
      </c>
      <c r="D181">
        <v>22.322390634262721</v>
      </c>
    </row>
    <row r="182" spans="1:4" x14ac:dyDescent="0.25">
      <c r="A182">
        <v>10025537</v>
      </c>
      <c r="B182" t="s">
        <v>16</v>
      </c>
      <c r="C182">
        <v>5</v>
      </c>
      <c r="D182">
        <v>3.4607112703248251</v>
      </c>
    </row>
    <row r="183" spans="1:4" x14ac:dyDescent="0.25">
      <c r="A183">
        <v>10025537</v>
      </c>
      <c r="B183" t="s">
        <v>17</v>
      </c>
      <c r="C183">
        <v>2</v>
      </c>
      <c r="D183">
        <v>2.6134729871061091</v>
      </c>
    </row>
    <row r="184" spans="1:4" x14ac:dyDescent="0.25">
      <c r="A184">
        <v>10025537</v>
      </c>
      <c r="B184" t="s">
        <v>18</v>
      </c>
      <c r="C184">
        <v>96</v>
      </c>
      <c r="D184">
        <v>50.025706893027873</v>
      </c>
    </row>
    <row r="185" spans="1:4" x14ac:dyDescent="0.25">
      <c r="A185">
        <v>10025537</v>
      </c>
      <c r="B185" t="s">
        <v>19</v>
      </c>
      <c r="C185">
        <v>59</v>
      </c>
      <c r="D185">
        <v>33.973281857845542</v>
      </c>
    </row>
    <row r="186" spans="1:4" x14ac:dyDescent="0.25">
      <c r="A186">
        <v>10025537</v>
      </c>
      <c r="B186" t="s">
        <v>20</v>
      </c>
      <c r="C186">
        <v>89</v>
      </c>
      <c r="D186">
        <v>57.110430061385173</v>
      </c>
    </row>
    <row r="187" spans="1:4" x14ac:dyDescent="0.25">
      <c r="A187">
        <v>10025538</v>
      </c>
      <c r="B187" t="s">
        <v>4</v>
      </c>
      <c r="C187">
        <v>1</v>
      </c>
      <c r="D187">
        <v>0.48778702578710548</v>
      </c>
    </row>
    <row r="188" spans="1:4" x14ac:dyDescent="0.25">
      <c r="A188">
        <v>10025538</v>
      </c>
      <c r="B188" t="s">
        <v>5</v>
      </c>
      <c r="C188">
        <v>26</v>
      </c>
      <c r="D188">
        <v>14.16259286468317</v>
      </c>
    </row>
    <row r="189" spans="1:4" x14ac:dyDescent="0.25">
      <c r="A189">
        <v>10025538</v>
      </c>
      <c r="B189" t="s">
        <v>7</v>
      </c>
      <c r="C189">
        <v>119</v>
      </c>
      <c r="D189">
        <v>50.788681135826458</v>
      </c>
    </row>
    <row r="190" spans="1:4" x14ac:dyDescent="0.25">
      <c r="A190">
        <v>10025538</v>
      </c>
      <c r="B190" t="s">
        <v>8</v>
      </c>
      <c r="C190">
        <v>73</v>
      </c>
      <c r="D190">
        <v>32.269782886426107</v>
      </c>
    </row>
    <row r="191" spans="1:4" x14ac:dyDescent="0.25">
      <c r="A191">
        <v>10025538</v>
      </c>
      <c r="B191" t="s">
        <v>9</v>
      </c>
      <c r="C191">
        <v>63</v>
      </c>
      <c r="D191">
        <v>24.13863797302383</v>
      </c>
    </row>
    <row r="192" spans="1:4" x14ac:dyDescent="0.25">
      <c r="A192">
        <v>10025538</v>
      </c>
      <c r="B192" t="s">
        <v>10</v>
      </c>
      <c r="C192">
        <v>21</v>
      </c>
      <c r="D192">
        <v>12.82282331187802</v>
      </c>
    </row>
    <row r="193" spans="1:4" x14ac:dyDescent="0.25">
      <c r="A193">
        <v>10025538</v>
      </c>
      <c r="B193" t="s">
        <v>11</v>
      </c>
      <c r="C193">
        <v>10</v>
      </c>
      <c r="D193">
        <v>6.196330087387488</v>
      </c>
    </row>
    <row r="194" spans="1:4" x14ac:dyDescent="0.25">
      <c r="A194">
        <v>10025538</v>
      </c>
      <c r="B194" t="s">
        <v>12</v>
      </c>
      <c r="C194">
        <v>42</v>
      </c>
      <c r="D194">
        <v>28.88454453722985</v>
      </c>
    </row>
    <row r="195" spans="1:4" x14ac:dyDescent="0.25">
      <c r="A195">
        <v>10025538</v>
      </c>
      <c r="B195" t="s">
        <v>13</v>
      </c>
      <c r="C195">
        <v>72</v>
      </c>
      <c r="D195">
        <v>40.331323298435628</v>
      </c>
    </row>
    <row r="196" spans="1:4" x14ac:dyDescent="0.25">
      <c r="A196">
        <v>10025538</v>
      </c>
      <c r="B196" t="s">
        <v>14</v>
      </c>
      <c r="C196">
        <v>85</v>
      </c>
      <c r="D196">
        <v>50.768607430101021</v>
      </c>
    </row>
    <row r="197" spans="1:4" x14ac:dyDescent="0.25">
      <c r="A197">
        <v>10025538</v>
      </c>
      <c r="B197" t="s">
        <v>15</v>
      </c>
      <c r="C197">
        <v>36</v>
      </c>
      <c r="D197">
        <v>22.336975201545581</v>
      </c>
    </row>
    <row r="198" spans="1:4" x14ac:dyDescent="0.25">
      <c r="A198">
        <v>10025538</v>
      </c>
      <c r="B198" t="s">
        <v>16</v>
      </c>
      <c r="C198">
        <v>7</v>
      </c>
      <c r="D198">
        <v>3.5040140546724361</v>
      </c>
    </row>
    <row r="199" spans="1:4" x14ac:dyDescent="0.25">
      <c r="A199">
        <v>10025538</v>
      </c>
      <c r="B199" t="s">
        <v>17</v>
      </c>
      <c r="C199">
        <v>3</v>
      </c>
      <c r="D199">
        <v>3.0956910975916889</v>
      </c>
    </row>
    <row r="200" spans="1:4" x14ac:dyDescent="0.25">
      <c r="A200">
        <v>10025538</v>
      </c>
      <c r="B200" t="s">
        <v>18</v>
      </c>
      <c r="C200">
        <v>73</v>
      </c>
      <c r="D200">
        <v>33.836959563202477</v>
      </c>
    </row>
    <row r="201" spans="1:4" x14ac:dyDescent="0.25">
      <c r="A201">
        <v>10025538</v>
      </c>
      <c r="B201" t="s">
        <v>19</v>
      </c>
      <c r="C201">
        <v>78</v>
      </c>
      <c r="D201">
        <v>38.460767940641567</v>
      </c>
    </row>
    <row r="202" spans="1:4" x14ac:dyDescent="0.25">
      <c r="A202">
        <v>10025538</v>
      </c>
      <c r="B202" t="s">
        <v>20</v>
      </c>
      <c r="C202">
        <v>94</v>
      </c>
      <c r="D202">
        <v>42.522048396619518</v>
      </c>
    </row>
    <row r="203" spans="1:4" x14ac:dyDescent="0.25">
      <c r="A203">
        <v>10029570</v>
      </c>
      <c r="B203" t="s">
        <v>4</v>
      </c>
      <c r="C203">
        <v>2</v>
      </c>
      <c r="D203">
        <v>4.1335562407147108</v>
      </c>
    </row>
    <row r="204" spans="1:4" x14ac:dyDescent="0.25">
      <c r="A204">
        <v>10029570</v>
      </c>
      <c r="B204" t="s">
        <v>5</v>
      </c>
      <c r="C204">
        <v>43</v>
      </c>
      <c r="D204">
        <v>25.44782662748543</v>
      </c>
    </row>
    <row r="205" spans="1:4" x14ac:dyDescent="0.25">
      <c r="A205">
        <v>10029570</v>
      </c>
      <c r="B205" t="s">
        <v>6</v>
      </c>
      <c r="C205">
        <v>90</v>
      </c>
      <c r="D205">
        <v>45.338754114924242</v>
      </c>
    </row>
    <row r="206" spans="1:4" x14ac:dyDescent="0.25">
      <c r="A206">
        <v>10029570</v>
      </c>
      <c r="B206" t="s">
        <v>7</v>
      </c>
      <c r="C206">
        <v>123</v>
      </c>
      <c r="D206">
        <v>38.238734127440992</v>
      </c>
    </row>
    <row r="207" spans="1:4" x14ac:dyDescent="0.25">
      <c r="A207">
        <v>10029570</v>
      </c>
      <c r="B207" t="s">
        <v>8</v>
      </c>
      <c r="C207">
        <v>107</v>
      </c>
      <c r="D207">
        <v>43.535038426554067</v>
      </c>
    </row>
    <row r="208" spans="1:4" x14ac:dyDescent="0.25">
      <c r="A208">
        <v>10029570</v>
      </c>
      <c r="B208" t="s">
        <v>9</v>
      </c>
      <c r="C208">
        <v>62</v>
      </c>
      <c r="D208">
        <v>20.75375799220193</v>
      </c>
    </row>
    <row r="209" spans="1:4" x14ac:dyDescent="0.25">
      <c r="A209">
        <v>10029570</v>
      </c>
      <c r="B209" t="s">
        <v>10</v>
      </c>
      <c r="C209">
        <v>24</v>
      </c>
      <c r="D209">
        <v>13.139868122230389</v>
      </c>
    </row>
    <row r="210" spans="1:4" x14ac:dyDescent="0.25">
      <c r="A210">
        <v>10029570</v>
      </c>
      <c r="B210" t="s">
        <v>11</v>
      </c>
      <c r="C210">
        <v>9</v>
      </c>
      <c r="D210">
        <v>6.2312959331391911</v>
      </c>
    </row>
    <row r="211" spans="1:4" x14ac:dyDescent="0.25">
      <c r="A211">
        <v>10029570</v>
      </c>
      <c r="B211" t="s">
        <v>12</v>
      </c>
      <c r="C211">
        <v>46</v>
      </c>
      <c r="D211">
        <v>24.45832160224154</v>
      </c>
    </row>
    <row r="212" spans="1:4" x14ac:dyDescent="0.25">
      <c r="A212">
        <v>10029570</v>
      </c>
      <c r="B212" t="s">
        <v>13</v>
      </c>
      <c r="C212">
        <v>86</v>
      </c>
      <c r="D212">
        <v>32.700367669198073</v>
      </c>
    </row>
    <row r="213" spans="1:4" x14ac:dyDescent="0.25">
      <c r="A213">
        <v>10029570</v>
      </c>
      <c r="B213" t="s">
        <v>14</v>
      </c>
      <c r="C213">
        <v>106</v>
      </c>
      <c r="D213">
        <v>34.949929932550752</v>
      </c>
    </row>
    <row r="214" spans="1:4" x14ac:dyDescent="0.25">
      <c r="A214">
        <v>10029570</v>
      </c>
      <c r="B214" t="s">
        <v>15</v>
      </c>
      <c r="C214">
        <v>36</v>
      </c>
      <c r="D214">
        <v>13.59671089536204</v>
      </c>
    </row>
    <row r="215" spans="1:4" x14ac:dyDescent="0.25">
      <c r="A215">
        <v>10029570</v>
      </c>
      <c r="B215" t="s">
        <v>16</v>
      </c>
      <c r="C215">
        <v>7</v>
      </c>
      <c r="D215">
        <v>5.893266810126069</v>
      </c>
    </row>
    <row r="216" spans="1:4" x14ac:dyDescent="0.25">
      <c r="A216">
        <v>10029570</v>
      </c>
      <c r="B216" t="s">
        <v>18</v>
      </c>
      <c r="C216">
        <v>86</v>
      </c>
      <c r="D216">
        <v>27.051764294858831</v>
      </c>
    </row>
    <row r="217" spans="1:4" x14ac:dyDescent="0.25">
      <c r="A217">
        <v>10029570</v>
      </c>
      <c r="B217" t="s">
        <v>19</v>
      </c>
      <c r="C217">
        <v>91</v>
      </c>
      <c r="D217">
        <v>34.598718828061692</v>
      </c>
    </row>
    <row r="218" spans="1:4" x14ac:dyDescent="0.25">
      <c r="A218">
        <v>10029570</v>
      </c>
      <c r="B218" t="s">
        <v>20</v>
      </c>
      <c r="C218">
        <v>89</v>
      </c>
      <c r="D218">
        <v>48.239941572300182</v>
      </c>
    </row>
    <row r="219" spans="1:4" x14ac:dyDescent="0.25">
      <c r="A219">
        <v>10031843</v>
      </c>
      <c r="B219" t="s">
        <v>4</v>
      </c>
      <c r="C219">
        <v>1</v>
      </c>
      <c r="D219">
        <v>2.859332951336925</v>
      </c>
    </row>
    <row r="220" spans="1:4" x14ac:dyDescent="0.25">
      <c r="A220">
        <v>10031843</v>
      </c>
      <c r="B220" t="s">
        <v>5</v>
      </c>
      <c r="C220">
        <v>15</v>
      </c>
      <c r="D220">
        <v>10.71975065835653</v>
      </c>
    </row>
    <row r="221" spans="1:4" x14ac:dyDescent="0.25">
      <c r="A221">
        <v>10031843</v>
      </c>
      <c r="B221" t="s">
        <v>6</v>
      </c>
      <c r="C221">
        <v>50</v>
      </c>
      <c r="D221">
        <v>37.828532978281828</v>
      </c>
    </row>
    <row r="222" spans="1:4" x14ac:dyDescent="0.25">
      <c r="A222">
        <v>10031843</v>
      </c>
      <c r="B222" t="s">
        <v>7</v>
      </c>
      <c r="C222">
        <v>90</v>
      </c>
      <c r="D222">
        <v>36.730866819068467</v>
      </c>
    </row>
    <row r="223" spans="1:4" x14ac:dyDescent="0.25">
      <c r="A223">
        <v>10031843</v>
      </c>
      <c r="B223" t="s">
        <v>8</v>
      </c>
      <c r="C223">
        <v>71</v>
      </c>
      <c r="D223">
        <v>30.91460930029988</v>
      </c>
    </row>
    <row r="224" spans="1:4" x14ac:dyDescent="0.25">
      <c r="A224">
        <v>10031843</v>
      </c>
      <c r="B224" t="s">
        <v>9</v>
      </c>
      <c r="C224">
        <v>56</v>
      </c>
      <c r="D224">
        <v>24.605334063808559</v>
      </c>
    </row>
    <row r="225" spans="1:4" x14ac:dyDescent="0.25">
      <c r="A225">
        <v>10031843</v>
      </c>
      <c r="B225" t="s">
        <v>10</v>
      </c>
      <c r="C225">
        <v>13</v>
      </c>
      <c r="D225">
        <v>7.700863946027626</v>
      </c>
    </row>
    <row r="226" spans="1:4" x14ac:dyDescent="0.25">
      <c r="A226">
        <v>10031843</v>
      </c>
      <c r="B226" t="s">
        <v>11</v>
      </c>
      <c r="C226">
        <v>5</v>
      </c>
      <c r="D226">
        <v>6.1459988315742882</v>
      </c>
    </row>
    <row r="227" spans="1:4" x14ac:dyDescent="0.25">
      <c r="A227">
        <v>10031843</v>
      </c>
      <c r="B227" t="s">
        <v>12</v>
      </c>
      <c r="C227">
        <v>64</v>
      </c>
      <c r="D227">
        <v>35.03337846892282</v>
      </c>
    </row>
    <row r="228" spans="1:4" x14ac:dyDescent="0.25">
      <c r="A228">
        <v>10031843</v>
      </c>
      <c r="B228" t="s">
        <v>13</v>
      </c>
      <c r="C228">
        <v>88</v>
      </c>
      <c r="D228">
        <v>37.983639333749842</v>
      </c>
    </row>
    <row r="229" spans="1:4" x14ac:dyDescent="0.25">
      <c r="A229">
        <v>10031843</v>
      </c>
      <c r="B229" t="s">
        <v>14</v>
      </c>
      <c r="C229">
        <v>124</v>
      </c>
      <c r="D229">
        <v>55.087239609654013</v>
      </c>
    </row>
    <row r="230" spans="1:4" x14ac:dyDescent="0.25">
      <c r="A230">
        <v>10031843</v>
      </c>
      <c r="B230" t="s">
        <v>15</v>
      </c>
      <c r="C230">
        <v>44</v>
      </c>
      <c r="D230">
        <v>17.576966819716521</v>
      </c>
    </row>
    <row r="231" spans="1:4" x14ac:dyDescent="0.25">
      <c r="A231">
        <v>10031843</v>
      </c>
      <c r="B231" t="s">
        <v>16</v>
      </c>
      <c r="C231">
        <v>6</v>
      </c>
      <c r="D231">
        <v>4.8803214008194127</v>
      </c>
    </row>
    <row r="232" spans="1:4" x14ac:dyDescent="0.25">
      <c r="A232">
        <v>10031843</v>
      </c>
      <c r="B232" t="s">
        <v>17</v>
      </c>
      <c r="C232">
        <v>4</v>
      </c>
      <c r="D232">
        <v>5.5917392893901807</v>
      </c>
    </row>
    <row r="233" spans="1:4" x14ac:dyDescent="0.25">
      <c r="A233">
        <v>10031843</v>
      </c>
      <c r="B233" t="s">
        <v>18</v>
      </c>
      <c r="C233">
        <v>55</v>
      </c>
      <c r="D233">
        <v>25.324732094690379</v>
      </c>
    </row>
    <row r="234" spans="1:4" x14ac:dyDescent="0.25">
      <c r="A234">
        <v>10031843</v>
      </c>
      <c r="B234" t="s">
        <v>19</v>
      </c>
      <c r="C234">
        <v>42</v>
      </c>
      <c r="D234">
        <v>24.51822150855088</v>
      </c>
    </row>
    <row r="235" spans="1:4" x14ac:dyDescent="0.25">
      <c r="A235">
        <v>10031843</v>
      </c>
      <c r="B235" t="s">
        <v>20</v>
      </c>
      <c r="C235">
        <v>74</v>
      </c>
      <c r="D235">
        <v>39.774309091171013</v>
      </c>
    </row>
    <row r="236" spans="1:4" x14ac:dyDescent="0.25">
      <c r="A236">
        <v>10031844</v>
      </c>
      <c r="B236" t="s">
        <v>4</v>
      </c>
      <c r="C236">
        <v>2</v>
      </c>
      <c r="D236">
        <v>3.4579361959674522</v>
      </c>
    </row>
    <row r="237" spans="1:4" x14ac:dyDescent="0.25">
      <c r="A237">
        <v>10031844</v>
      </c>
      <c r="B237" t="s">
        <v>5</v>
      </c>
      <c r="C237">
        <v>31</v>
      </c>
      <c r="D237">
        <v>20.001581898103719</v>
      </c>
    </row>
    <row r="238" spans="1:4" x14ac:dyDescent="0.25">
      <c r="A238">
        <v>10031844</v>
      </c>
      <c r="B238" t="s">
        <v>6</v>
      </c>
      <c r="C238">
        <v>77</v>
      </c>
      <c r="D238">
        <v>40.377990458567233</v>
      </c>
    </row>
    <row r="239" spans="1:4" x14ac:dyDescent="0.25">
      <c r="A239">
        <v>10031844</v>
      </c>
      <c r="B239" t="s">
        <v>7</v>
      </c>
      <c r="C239">
        <v>55</v>
      </c>
      <c r="D239">
        <v>42.400824314017747</v>
      </c>
    </row>
    <row r="240" spans="1:4" x14ac:dyDescent="0.25">
      <c r="A240">
        <v>10031844</v>
      </c>
      <c r="B240" t="s">
        <v>8</v>
      </c>
      <c r="C240">
        <v>69</v>
      </c>
      <c r="D240">
        <v>45.596808797731242</v>
      </c>
    </row>
    <row r="241" spans="1:4" x14ac:dyDescent="0.25">
      <c r="A241">
        <v>10031844</v>
      </c>
      <c r="B241" t="s">
        <v>9</v>
      </c>
      <c r="C241">
        <v>41</v>
      </c>
      <c r="D241">
        <v>30.826671960045161</v>
      </c>
    </row>
    <row r="242" spans="1:4" x14ac:dyDescent="0.25">
      <c r="A242">
        <v>10031844</v>
      </c>
      <c r="B242" t="s">
        <v>10</v>
      </c>
      <c r="C242">
        <v>20</v>
      </c>
      <c r="D242">
        <v>13.202588930980291</v>
      </c>
    </row>
    <row r="243" spans="1:4" x14ac:dyDescent="0.25">
      <c r="A243">
        <v>10031844</v>
      </c>
      <c r="B243" t="s">
        <v>11</v>
      </c>
      <c r="C243">
        <v>5</v>
      </c>
      <c r="D243">
        <v>5.8091278581728707</v>
      </c>
    </row>
    <row r="244" spans="1:4" x14ac:dyDescent="0.25">
      <c r="A244">
        <v>10031844</v>
      </c>
      <c r="B244" t="s">
        <v>12</v>
      </c>
      <c r="C244">
        <v>50</v>
      </c>
      <c r="D244">
        <v>30.251121573658441</v>
      </c>
    </row>
    <row r="245" spans="1:4" x14ac:dyDescent="0.25">
      <c r="A245">
        <v>10031844</v>
      </c>
      <c r="B245" t="s">
        <v>13</v>
      </c>
      <c r="C245">
        <v>80</v>
      </c>
      <c r="D245">
        <v>30.67307899420658</v>
      </c>
    </row>
    <row r="246" spans="1:4" x14ac:dyDescent="0.25">
      <c r="A246">
        <v>10031844</v>
      </c>
      <c r="B246" t="s">
        <v>14</v>
      </c>
      <c r="C246">
        <v>97</v>
      </c>
      <c r="D246">
        <v>65.63992696692253</v>
      </c>
    </row>
    <row r="247" spans="1:4" x14ac:dyDescent="0.25">
      <c r="A247">
        <v>10031844</v>
      </c>
      <c r="B247" t="s">
        <v>15</v>
      </c>
      <c r="C247">
        <v>17</v>
      </c>
      <c r="D247">
        <v>11.365717182349851</v>
      </c>
    </row>
    <row r="248" spans="1:4" x14ac:dyDescent="0.25">
      <c r="A248">
        <v>10031844</v>
      </c>
      <c r="B248" t="s">
        <v>16</v>
      </c>
      <c r="C248">
        <v>6</v>
      </c>
      <c r="D248">
        <v>6.6826887477508254</v>
      </c>
    </row>
    <row r="249" spans="1:4" x14ac:dyDescent="0.25">
      <c r="A249">
        <v>10031844</v>
      </c>
      <c r="B249" t="s">
        <v>17</v>
      </c>
      <c r="C249">
        <v>1</v>
      </c>
      <c r="D249">
        <v>3.0025153366481718</v>
      </c>
    </row>
    <row r="250" spans="1:4" x14ac:dyDescent="0.25">
      <c r="A250">
        <v>10031844</v>
      </c>
      <c r="B250" t="s">
        <v>18</v>
      </c>
      <c r="C250">
        <v>52</v>
      </c>
      <c r="D250">
        <v>36.202749978712973</v>
      </c>
    </row>
    <row r="251" spans="1:4" x14ac:dyDescent="0.25">
      <c r="A251">
        <v>10031844</v>
      </c>
      <c r="B251" t="s">
        <v>19</v>
      </c>
      <c r="C251">
        <v>42</v>
      </c>
      <c r="D251">
        <v>31.381376940248881</v>
      </c>
    </row>
    <row r="252" spans="1:4" x14ac:dyDescent="0.25">
      <c r="A252">
        <v>10031844</v>
      </c>
      <c r="B252" t="s">
        <v>20</v>
      </c>
      <c r="C252">
        <v>70</v>
      </c>
      <c r="D252">
        <v>44.935369993312243</v>
      </c>
    </row>
    <row r="253" spans="1:4" x14ac:dyDescent="0.25">
      <c r="A253">
        <v>10031845</v>
      </c>
      <c r="B253" t="s">
        <v>4</v>
      </c>
      <c r="C253">
        <v>1</v>
      </c>
      <c r="D253">
        <v>0.52400340889963748</v>
      </c>
    </row>
    <row r="254" spans="1:4" x14ac:dyDescent="0.25">
      <c r="A254">
        <v>10031845</v>
      </c>
      <c r="B254" t="s">
        <v>5</v>
      </c>
      <c r="C254">
        <v>47</v>
      </c>
      <c r="D254">
        <v>30.144438896686641</v>
      </c>
    </row>
    <row r="255" spans="1:4" x14ac:dyDescent="0.25">
      <c r="A255">
        <v>10031845</v>
      </c>
      <c r="B255" t="s">
        <v>7</v>
      </c>
      <c r="C255">
        <v>148</v>
      </c>
      <c r="D255">
        <v>61.435985131423152</v>
      </c>
    </row>
    <row r="256" spans="1:4" x14ac:dyDescent="0.25">
      <c r="A256">
        <v>10031845</v>
      </c>
      <c r="B256" t="s">
        <v>8</v>
      </c>
      <c r="C256">
        <v>101</v>
      </c>
      <c r="D256">
        <v>67.163754693836268</v>
      </c>
    </row>
    <row r="257" spans="1:4" x14ac:dyDescent="0.25">
      <c r="A257">
        <v>10031845</v>
      </c>
      <c r="B257" t="s">
        <v>9</v>
      </c>
      <c r="C257">
        <v>63</v>
      </c>
      <c r="D257">
        <v>40.889521640149432</v>
      </c>
    </row>
    <row r="258" spans="1:4" x14ac:dyDescent="0.25">
      <c r="A258">
        <v>10031845</v>
      </c>
      <c r="B258" t="s">
        <v>10</v>
      </c>
      <c r="C258">
        <v>30</v>
      </c>
      <c r="D258">
        <v>22.7494063912911</v>
      </c>
    </row>
    <row r="259" spans="1:4" x14ac:dyDescent="0.25">
      <c r="A259">
        <v>10031845</v>
      </c>
      <c r="B259" t="s">
        <v>11</v>
      </c>
      <c r="C259">
        <v>8</v>
      </c>
      <c r="D259">
        <v>7.5418303130014577</v>
      </c>
    </row>
    <row r="260" spans="1:4" x14ac:dyDescent="0.25">
      <c r="A260">
        <v>10031845</v>
      </c>
      <c r="B260" t="s">
        <v>12</v>
      </c>
      <c r="C260">
        <v>50</v>
      </c>
      <c r="D260">
        <v>36.588459104300881</v>
      </c>
    </row>
    <row r="261" spans="1:4" x14ac:dyDescent="0.25">
      <c r="A261">
        <v>10031845</v>
      </c>
      <c r="B261" t="s">
        <v>13</v>
      </c>
      <c r="C261">
        <v>80</v>
      </c>
      <c r="D261">
        <v>46.589337015989933</v>
      </c>
    </row>
    <row r="262" spans="1:4" x14ac:dyDescent="0.25">
      <c r="A262">
        <v>10031845</v>
      </c>
      <c r="B262" t="s">
        <v>14</v>
      </c>
      <c r="C262">
        <v>94</v>
      </c>
      <c r="D262">
        <v>74.029842915224762</v>
      </c>
    </row>
    <row r="263" spans="1:4" x14ac:dyDescent="0.25">
      <c r="A263">
        <v>10031845</v>
      </c>
      <c r="B263" t="s">
        <v>15</v>
      </c>
      <c r="C263">
        <v>36</v>
      </c>
      <c r="D263">
        <v>22.120957617090401</v>
      </c>
    </row>
    <row r="264" spans="1:4" x14ac:dyDescent="0.25">
      <c r="A264">
        <v>10031845</v>
      </c>
      <c r="B264" t="s">
        <v>16</v>
      </c>
      <c r="C264">
        <v>10</v>
      </c>
      <c r="D264">
        <v>4.1580555960247931</v>
      </c>
    </row>
    <row r="265" spans="1:4" x14ac:dyDescent="0.25">
      <c r="A265">
        <v>10031845</v>
      </c>
      <c r="B265" t="s">
        <v>17</v>
      </c>
      <c r="C265">
        <v>2</v>
      </c>
      <c r="D265">
        <v>2.4902115350863521</v>
      </c>
    </row>
    <row r="266" spans="1:4" x14ac:dyDescent="0.25">
      <c r="A266">
        <v>10031845</v>
      </c>
      <c r="B266" t="s">
        <v>18</v>
      </c>
      <c r="C266">
        <v>54</v>
      </c>
      <c r="D266">
        <v>34.908880416705543</v>
      </c>
    </row>
    <row r="267" spans="1:4" x14ac:dyDescent="0.25">
      <c r="A267">
        <v>10031845</v>
      </c>
      <c r="B267" t="s">
        <v>20</v>
      </c>
      <c r="C267">
        <v>94</v>
      </c>
      <c r="D267">
        <v>65.935517866145261</v>
      </c>
    </row>
    <row r="268" spans="1:4" x14ac:dyDescent="0.25">
      <c r="A268">
        <v>10035125</v>
      </c>
      <c r="B268" t="s">
        <v>4</v>
      </c>
      <c r="C268">
        <v>9</v>
      </c>
      <c r="D268">
        <v>10.668564215725519</v>
      </c>
    </row>
    <row r="269" spans="1:4" x14ac:dyDescent="0.25">
      <c r="A269">
        <v>10035125</v>
      </c>
      <c r="B269" t="s">
        <v>5</v>
      </c>
      <c r="C269">
        <v>50</v>
      </c>
      <c r="D269">
        <v>42.982865407559942</v>
      </c>
    </row>
    <row r="270" spans="1:4" x14ac:dyDescent="0.25">
      <c r="A270">
        <v>10035125</v>
      </c>
      <c r="B270" t="s">
        <v>6</v>
      </c>
      <c r="C270">
        <v>83</v>
      </c>
      <c r="D270">
        <v>44.815078881657143</v>
      </c>
    </row>
    <row r="271" spans="1:4" x14ac:dyDescent="0.25">
      <c r="A271">
        <v>10035125</v>
      </c>
      <c r="B271" t="s">
        <v>7</v>
      </c>
      <c r="C271">
        <v>122</v>
      </c>
      <c r="D271">
        <v>64.792192432035478</v>
      </c>
    </row>
    <row r="272" spans="1:4" x14ac:dyDescent="0.25">
      <c r="A272">
        <v>10035125</v>
      </c>
      <c r="B272" t="s">
        <v>8</v>
      </c>
      <c r="C272">
        <v>73</v>
      </c>
      <c r="D272">
        <v>40.576884092877947</v>
      </c>
    </row>
    <row r="273" spans="1:4" x14ac:dyDescent="0.25">
      <c r="A273">
        <v>10035125</v>
      </c>
      <c r="B273" t="s">
        <v>9</v>
      </c>
      <c r="C273">
        <v>67</v>
      </c>
      <c r="D273">
        <v>49.236343854527732</v>
      </c>
    </row>
    <row r="274" spans="1:4" x14ac:dyDescent="0.25">
      <c r="A274">
        <v>10035125</v>
      </c>
      <c r="B274" t="s">
        <v>10</v>
      </c>
      <c r="C274">
        <v>46</v>
      </c>
      <c r="D274">
        <v>35.270843225849312</v>
      </c>
    </row>
    <row r="275" spans="1:4" x14ac:dyDescent="0.25">
      <c r="A275">
        <v>10035125</v>
      </c>
      <c r="B275" t="s">
        <v>11</v>
      </c>
      <c r="C275">
        <v>10</v>
      </c>
      <c r="D275">
        <v>10.421709117501241</v>
      </c>
    </row>
    <row r="276" spans="1:4" x14ac:dyDescent="0.25">
      <c r="A276">
        <v>10035125</v>
      </c>
      <c r="B276" t="s">
        <v>12</v>
      </c>
      <c r="C276">
        <v>70</v>
      </c>
      <c r="D276">
        <v>36.376946094747787</v>
      </c>
    </row>
    <row r="277" spans="1:4" x14ac:dyDescent="0.25">
      <c r="A277">
        <v>10035125</v>
      </c>
      <c r="B277" t="s">
        <v>13</v>
      </c>
      <c r="C277">
        <v>106</v>
      </c>
      <c r="D277">
        <v>51.711779098193119</v>
      </c>
    </row>
    <row r="278" spans="1:4" x14ac:dyDescent="0.25">
      <c r="A278">
        <v>10035125</v>
      </c>
      <c r="B278" t="s">
        <v>14</v>
      </c>
      <c r="C278">
        <v>125</v>
      </c>
      <c r="D278">
        <v>88.319142419177766</v>
      </c>
    </row>
    <row r="279" spans="1:4" x14ac:dyDescent="0.25">
      <c r="A279">
        <v>10035125</v>
      </c>
      <c r="B279" t="s">
        <v>15</v>
      </c>
      <c r="C279">
        <v>32</v>
      </c>
      <c r="D279">
        <v>24.92283919446529</v>
      </c>
    </row>
    <row r="280" spans="1:4" x14ac:dyDescent="0.25">
      <c r="A280">
        <v>10035125</v>
      </c>
      <c r="B280" t="s">
        <v>16</v>
      </c>
      <c r="C280">
        <v>11</v>
      </c>
      <c r="D280">
        <v>8.6339776231859631</v>
      </c>
    </row>
    <row r="281" spans="1:4" x14ac:dyDescent="0.25">
      <c r="A281">
        <v>10035125</v>
      </c>
      <c r="B281" t="s">
        <v>17</v>
      </c>
      <c r="C281">
        <v>6</v>
      </c>
      <c r="D281">
        <v>5.9036125743581653</v>
      </c>
    </row>
    <row r="282" spans="1:4" x14ac:dyDescent="0.25">
      <c r="A282">
        <v>10035125</v>
      </c>
      <c r="B282" t="s">
        <v>18</v>
      </c>
      <c r="C282">
        <v>78</v>
      </c>
      <c r="D282">
        <v>55.865773796105827</v>
      </c>
    </row>
    <row r="283" spans="1:4" x14ac:dyDescent="0.25">
      <c r="A283">
        <v>10035125</v>
      </c>
      <c r="B283" t="s">
        <v>19</v>
      </c>
      <c r="C283">
        <v>88</v>
      </c>
      <c r="D283">
        <v>52.204922524186728</v>
      </c>
    </row>
    <row r="284" spans="1:4" x14ac:dyDescent="0.25">
      <c r="A284">
        <v>10035125</v>
      </c>
      <c r="B284" t="s">
        <v>20</v>
      </c>
      <c r="C284">
        <v>102</v>
      </c>
      <c r="D284">
        <v>62.472312387850529</v>
      </c>
    </row>
    <row r="285" spans="1:4" x14ac:dyDescent="0.25">
      <c r="A285">
        <v>10038027</v>
      </c>
      <c r="B285" t="s">
        <v>4</v>
      </c>
      <c r="C285">
        <v>5</v>
      </c>
      <c r="D285">
        <v>4.4366444415069886</v>
      </c>
    </row>
    <row r="286" spans="1:4" x14ac:dyDescent="0.25">
      <c r="A286">
        <v>10038027</v>
      </c>
      <c r="B286" t="s">
        <v>6</v>
      </c>
      <c r="C286">
        <v>75</v>
      </c>
      <c r="D286">
        <v>44.646021039290723</v>
      </c>
    </row>
    <row r="287" spans="1:4" x14ac:dyDescent="0.25">
      <c r="A287">
        <v>10038027</v>
      </c>
      <c r="B287" t="s">
        <v>7</v>
      </c>
      <c r="C287">
        <v>159</v>
      </c>
      <c r="D287">
        <v>56.634620329455167</v>
      </c>
    </row>
    <row r="288" spans="1:4" x14ac:dyDescent="0.25">
      <c r="A288">
        <v>10038027</v>
      </c>
      <c r="B288" t="s">
        <v>8</v>
      </c>
      <c r="C288">
        <v>119</v>
      </c>
      <c r="D288">
        <v>56.495568431995032</v>
      </c>
    </row>
    <row r="289" spans="1:4" x14ac:dyDescent="0.25">
      <c r="A289">
        <v>10038027</v>
      </c>
      <c r="B289" t="s">
        <v>9</v>
      </c>
      <c r="C289">
        <v>65</v>
      </c>
      <c r="D289">
        <v>31.10130899207611</v>
      </c>
    </row>
    <row r="290" spans="1:4" x14ac:dyDescent="0.25">
      <c r="A290">
        <v>10038027</v>
      </c>
      <c r="B290" t="s">
        <v>10</v>
      </c>
      <c r="C290">
        <v>23</v>
      </c>
      <c r="D290">
        <v>18.35306347667013</v>
      </c>
    </row>
    <row r="291" spans="1:4" x14ac:dyDescent="0.25">
      <c r="A291">
        <v>10038027</v>
      </c>
      <c r="B291" t="s">
        <v>11</v>
      </c>
      <c r="C291">
        <v>13</v>
      </c>
      <c r="D291">
        <v>11.508285264527901</v>
      </c>
    </row>
    <row r="292" spans="1:4" x14ac:dyDescent="0.25">
      <c r="A292">
        <v>10038027</v>
      </c>
      <c r="B292" t="s">
        <v>12</v>
      </c>
      <c r="C292">
        <v>52</v>
      </c>
      <c r="D292">
        <v>27.504650652808699</v>
      </c>
    </row>
    <row r="293" spans="1:4" x14ac:dyDescent="0.25">
      <c r="A293">
        <v>10038027</v>
      </c>
      <c r="B293" t="s">
        <v>13</v>
      </c>
      <c r="C293">
        <v>92</v>
      </c>
      <c r="D293">
        <v>38.592559819771068</v>
      </c>
    </row>
    <row r="294" spans="1:4" x14ac:dyDescent="0.25">
      <c r="A294">
        <v>10038027</v>
      </c>
      <c r="B294" t="s">
        <v>14</v>
      </c>
      <c r="C294">
        <v>141</v>
      </c>
      <c r="D294">
        <v>51.246057683441343</v>
      </c>
    </row>
    <row r="295" spans="1:4" x14ac:dyDescent="0.25">
      <c r="A295">
        <v>10038027</v>
      </c>
      <c r="B295" t="s">
        <v>15</v>
      </c>
      <c r="C295">
        <v>42</v>
      </c>
      <c r="D295">
        <v>21.899314413625191</v>
      </c>
    </row>
    <row r="296" spans="1:4" x14ac:dyDescent="0.25">
      <c r="A296">
        <v>10038027</v>
      </c>
      <c r="B296" t="s">
        <v>16</v>
      </c>
      <c r="C296">
        <v>5</v>
      </c>
      <c r="D296">
        <v>3.1785724180980801</v>
      </c>
    </row>
    <row r="297" spans="1:4" x14ac:dyDescent="0.25">
      <c r="A297">
        <v>10038027</v>
      </c>
      <c r="B297" t="s">
        <v>17</v>
      </c>
      <c r="C297">
        <v>3</v>
      </c>
      <c r="D297">
        <v>5.1496845153556903</v>
      </c>
    </row>
    <row r="298" spans="1:4" x14ac:dyDescent="0.25">
      <c r="A298">
        <v>10038027</v>
      </c>
      <c r="B298" t="s">
        <v>18</v>
      </c>
      <c r="C298">
        <v>89</v>
      </c>
      <c r="D298">
        <v>39.848785323259513</v>
      </c>
    </row>
    <row r="299" spans="1:4" x14ac:dyDescent="0.25">
      <c r="A299">
        <v>10038027</v>
      </c>
      <c r="B299" t="s">
        <v>19</v>
      </c>
      <c r="C299">
        <v>82</v>
      </c>
      <c r="D299">
        <v>59.732830472498648</v>
      </c>
    </row>
    <row r="300" spans="1:4" x14ac:dyDescent="0.25">
      <c r="A300">
        <v>10038027</v>
      </c>
      <c r="B300" t="s">
        <v>20</v>
      </c>
      <c r="C300">
        <v>110</v>
      </c>
      <c r="D300">
        <v>43.057943254102362</v>
      </c>
    </row>
    <row r="301" spans="1:4" x14ac:dyDescent="0.25">
      <c r="A301">
        <v>10046352</v>
      </c>
      <c r="B301" t="s">
        <v>5</v>
      </c>
      <c r="C301">
        <v>20</v>
      </c>
      <c r="D301">
        <v>11.65386025870246</v>
      </c>
    </row>
    <row r="302" spans="1:4" x14ac:dyDescent="0.25">
      <c r="A302">
        <v>10046352</v>
      </c>
      <c r="B302" t="s">
        <v>6</v>
      </c>
      <c r="C302">
        <v>31</v>
      </c>
      <c r="D302">
        <v>14.83259271897108</v>
      </c>
    </row>
    <row r="303" spans="1:4" x14ac:dyDescent="0.25">
      <c r="A303">
        <v>10046352</v>
      </c>
      <c r="B303" t="s">
        <v>7</v>
      </c>
      <c r="C303">
        <v>44</v>
      </c>
      <c r="D303">
        <v>18.425747915945351</v>
      </c>
    </row>
    <row r="304" spans="1:4" x14ac:dyDescent="0.25">
      <c r="A304">
        <v>10046352</v>
      </c>
      <c r="B304" t="s">
        <v>8</v>
      </c>
      <c r="C304">
        <v>52</v>
      </c>
      <c r="D304">
        <v>17.70980704606011</v>
      </c>
    </row>
    <row r="305" spans="1:4" x14ac:dyDescent="0.25">
      <c r="A305">
        <v>10046352</v>
      </c>
      <c r="B305" t="s">
        <v>9</v>
      </c>
      <c r="C305">
        <v>31</v>
      </c>
      <c r="D305">
        <v>12.382939231902331</v>
      </c>
    </row>
    <row r="306" spans="1:4" x14ac:dyDescent="0.25">
      <c r="A306">
        <v>10046352</v>
      </c>
      <c r="B306" t="s">
        <v>10</v>
      </c>
      <c r="C306">
        <v>10</v>
      </c>
      <c r="D306">
        <v>4.9977933476824834</v>
      </c>
    </row>
    <row r="307" spans="1:4" x14ac:dyDescent="0.25">
      <c r="A307">
        <v>10046352</v>
      </c>
      <c r="B307" t="s">
        <v>11</v>
      </c>
      <c r="C307">
        <v>5</v>
      </c>
      <c r="D307">
        <v>4.2783795141968151</v>
      </c>
    </row>
    <row r="308" spans="1:4" x14ac:dyDescent="0.25">
      <c r="A308">
        <v>10046352</v>
      </c>
      <c r="B308" t="s">
        <v>12</v>
      </c>
      <c r="C308">
        <v>35</v>
      </c>
      <c r="D308">
        <v>19.5214911979485</v>
      </c>
    </row>
    <row r="309" spans="1:4" x14ac:dyDescent="0.25">
      <c r="A309">
        <v>10046352</v>
      </c>
      <c r="B309" t="s">
        <v>13</v>
      </c>
      <c r="C309">
        <v>65</v>
      </c>
      <c r="D309">
        <v>21.4469109694016</v>
      </c>
    </row>
    <row r="310" spans="1:4" x14ac:dyDescent="0.25">
      <c r="A310">
        <v>10046352</v>
      </c>
      <c r="B310" t="s">
        <v>14</v>
      </c>
      <c r="C310">
        <v>76</v>
      </c>
      <c r="D310">
        <v>26.669772001695431</v>
      </c>
    </row>
    <row r="311" spans="1:4" x14ac:dyDescent="0.25">
      <c r="A311">
        <v>10046352</v>
      </c>
      <c r="B311" t="s">
        <v>15</v>
      </c>
      <c r="C311">
        <v>18</v>
      </c>
      <c r="D311">
        <v>13.052606435706689</v>
      </c>
    </row>
    <row r="312" spans="1:4" x14ac:dyDescent="0.25">
      <c r="A312">
        <v>10046352</v>
      </c>
      <c r="B312" t="s">
        <v>16</v>
      </c>
      <c r="C312">
        <v>6</v>
      </c>
      <c r="D312">
        <v>3.7937329036227232</v>
      </c>
    </row>
    <row r="313" spans="1:4" x14ac:dyDescent="0.25">
      <c r="A313">
        <v>10046352</v>
      </c>
      <c r="B313" t="s">
        <v>18</v>
      </c>
      <c r="C313">
        <v>38</v>
      </c>
      <c r="D313">
        <v>15.22060456519028</v>
      </c>
    </row>
    <row r="314" spans="1:4" x14ac:dyDescent="0.25">
      <c r="A314">
        <v>10046352</v>
      </c>
      <c r="B314" t="s">
        <v>19</v>
      </c>
      <c r="C314">
        <v>44</v>
      </c>
      <c r="D314">
        <v>15.406298308890239</v>
      </c>
    </row>
    <row r="315" spans="1:4" x14ac:dyDescent="0.25">
      <c r="A315">
        <v>10046352</v>
      </c>
      <c r="B315" t="s">
        <v>20</v>
      </c>
      <c r="C315">
        <v>67</v>
      </c>
      <c r="D315">
        <v>26.41742460598865</v>
      </c>
    </row>
    <row r="316" spans="1:4" x14ac:dyDescent="0.25">
      <c r="A316">
        <v>10046795</v>
      </c>
      <c r="B316" t="s">
        <v>4</v>
      </c>
      <c r="C316">
        <v>4</v>
      </c>
      <c r="D316">
        <v>2.4685433625575719</v>
      </c>
    </row>
    <row r="317" spans="1:4" x14ac:dyDescent="0.25">
      <c r="A317">
        <v>10046795</v>
      </c>
      <c r="B317" t="s">
        <v>5</v>
      </c>
      <c r="C317">
        <v>35</v>
      </c>
      <c r="D317">
        <v>16.266204434347841</v>
      </c>
    </row>
    <row r="318" spans="1:4" x14ac:dyDescent="0.25">
      <c r="A318">
        <v>10046795</v>
      </c>
      <c r="B318" t="s">
        <v>6</v>
      </c>
      <c r="C318">
        <v>77</v>
      </c>
      <c r="D318">
        <v>40.422435286983777</v>
      </c>
    </row>
    <row r="319" spans="1:4" x14ac:dyDescent="0.25">
      <c r="A319">
        <v>10046795</v>
      </c>
      <c r="B319" t="s">
        <v>7</v>
      </c>
      <c r="C319">
        <v>125</v>
      </c>
      <c r="D319">
        <v>57.906262416186593</v>
      </c>
    </row>
    <row r="320" spans="1:4" x14ac:dyDescent="0.25">
      <c r="A320">
        <v>10046795</v>
      </c>
      <c r="B320" t="s">
        <v>8</v>
      </c>
      <c r="C320">
        <v>78</v>
      </c>
      <c r="D320">
        <v>35.455788969635023</v>
      </c>
    </row>
    <row r="321" spans="1:4" x14ac:dyDescent="0.25">
      <c r="A321">
        <v>10046795</v>
      </c>
      <c r="B321" t="s">
        <v>9</v>
      </c>
      <c r="C321">
        <v>65</v>
      </c>
      <c r="D321">
        <v>30.726941862108099</v>
      </c>
    </row>
    <row r="322" spans="1:4" x14ac:dyDescent="0.25">
      <c r="A322">
        <v>10046795</v>
      </c>
      <c r="B322" t="s">
        <v>10</v>
      </c>
      <c r="C322">
        <v>39</v>
      </c>
      <c r="D322">
        <v>22.738806840901042</v>
      </c>
    </row>
    <row r="323" spans="1:4" x14ac:dyDescent="0.25">
      <c r="A323">
        <v>10046795</v>
      </c>
      <c r="B323" t="s">
        <v>11</v>
      </c>
      <c r="C323">
        <v>8</v>
      </c>
      <c r="D323">
        <v>14.582652774850549</v>
      </c>
    </row>
    <row r="324" spans="1:4" x14ac:dyDescent="0.25">
      <c r="A324">
        <v>10046795</v>
      </c>
      <c r="B324" t="s">
        <v>12</v>
      </c>
      <c r="C324">
        <v>49</v>
      </c>
      <c r="D324">
        <v>21.506033045681651</v>
      </c>
    </row>
    <row r="325" spans="1:4" x14ac:dyDescent="0.25">
      <c r="A325">
        <v>10046795</v>
      </c>
      <c r="B325" t="s">
        <v>13</v>
      </c>
      <c r="C325">
        <v>84</v>
      </c>
      <c r="D325">
        <v>32.83093749740496</v>
      </c>
    </row>
    <row r="326" spans="1:4" x14ac:dyDescent="0.25">
      <c r="A326">
        <v>10046795</v>
      </c>
      <c r="B326" t="s">
        <v>14</v>
      </c>
      <c r="C326">
        <v>138</v>
      </c>
      <c r="D326">
        <v>53.744394639411603</v>
      </c>
    </row>
    <row r="327" spans="1:4" x14ac:dyDescent="0.25">
      <c r="A327">
        <v>10046795</v>
      </c>
      <c r="B327" t="s">
        <v>15</v>
      </c>
      <c r="C327">
        <v>51</v>
      </c>
      <c r="D327">
        <v>32.757946453814341</v>
      </c>
    </row>
    <row r="328" spans="1:4" x14ac:dyDescent="0.25">
      <c r="A328">
        <v>10046795</v>
      </c>
      <c r="B328" t="s">
        <v>16</v>
      </c>
      <c r="C328">
        <v>13</v>
      </c>
      <c r="D328">
        <v>8.9353590734520498</v>
      </c>
    </row>
    <row r="329" spans="1:4" x14ac:dyDescent="0.25">
      <c r="A329">
        <v>10046795</v>
      </c>
      <c r="B329" t="s">
        <v>17</v>
      </c>
      <c r="C329">
        <v>3</v>
      </c>
      <c r="D329">
        <v>2.5245387822965242</v>
      </c>
    </row>
    <row r="330" spans="1:4" x14ac:dyDescent="0.25">
      <c r="A330">
        <v>10046795</v>
      </c>
      <c r="B330" t="s">
        <v>18</v>
      </c>
      <c r="C330">
        <v>47</v>
      </c>
      <c r="D330">
        <v>26.071403407925029</v>
      </c>
    </row>
    <row r="331" spans="1:4" x14ac:dyDescent="0.25">
      <c r="A331">
        <v>10046795</v>
      </c>
      <c r="B331" t="s">
        <v>19</v>
      </c>
      <c r="C331">
        <v>80</v>
      </c>
      <c r="D331">
        <v>31.199160364976009</v>
      </c>
    </row>
    <row r="332" spans="1:4" x14ac:dyDescent="0.25">
      <c r="A332">
        <v>10046795</v>
      </c>
      <c r="B332" t="s">
        <v>20</v>
      </c>
      <c r="C332">
        <v>95</v>
      </c>
      <c r="D332">
        <v>47.433083636996379</v>
      </c>
    </row>
    <row r="333" spans="1:4" x14ac:dyDescent="0.25">
      <c r="A333">
        <v>10047909</v>
      </c>
      <c r="B333" t="s">
        <v>4</v>
      </c>
      <c r="C333">
        <v>3</v>
      </c>
      <c r="D333">
        <v>6.4532299316298749</v>
      </c>
    </row>
    <row r="334" spans="1:4" x14ac:dyDescent="0.25">
      <c r="A334">
        <v>10047909</v>
      </c>
      <c r="B334" t="s">
        <v>5</v>
      </c>
      <c r="C334">
        <v>42</v>
      </c>
      <c r="D334">
        <v>31.696323216252392</v>
      </c>
    </row>
    <row r="335" spans="1:4" x14ac:dyDescent="0.25">
      <c r="A335">
        <v>10047909</v>
      </c>
      <c r="B335" t="s">
        <v>6</v>
      </c>
      <c r="C335">
        <v>83</v>
      </c>
      <c r="D335">
        <v>64.53479935583681</v>
      </c>
    </row>
    <row r="336" spans="1:4" x14ac:dyDescent="0.25">
      <c r="A336">
        <v>10047909</v>
      </c>
      <c r="B336" t="s">
        <v>7</v>
      </c>
      <c r="C336">
        <v>104</v>
      </c>
      <c r="D336">
        <v>55.656750594574497</v>
      </c>
    </row>
    <row r="337" spans="1:4" x14ac:dyDescent="0.25">
      <c r="A337">
        <v>10047909</v>
      </c>
      <c r="B337" t="s">
        <v>8</v>
      </c>
      <c r="C337">
        <v>73</v>
      </c>
      <c r="D337">
        <v>37.625800767456212</v>
      </c>
    </row>
    <row r="338" spans="1:4" x14ac:dyDescent="0.25">
      <c r="A338">
        <v>10047909</v>
      </c>
      <c r="B338" t="s">
        <v>9</v>
      </c>
      <c r="C338">
        <v>60</v>
      </c>
      <c r="D338">
        <v>37.027743874621187</v>
      </c>
    </row>
    <row r="339" spans="1:4" x14ac:dyDescent="0.25">
      <c r="A339">
        <v>10047909</v>
      </c>
      <c r="B339" t="s">
        <v>10</v>
      </c>
      <c r="C339">
        <v>27</v>
      </c>
      <c r="D339">
        <v>19.139385639838519</v>
      </c>
    </row>
    <row r="340" spans="1:4" x14ac:dyDescent="0.25">
      <c r="A340">
        <v>10047909</v>
      </c>
      <c r="B340" t="s">
        <v>11</v>
      </c>
      <c r="C340">
        <v>5</v>
      </c>
      <c r="D340">
        <v>7.605700474090197</v>
      </c>
    </row>
    <row r="341" spans="1:4" x14ac:dyDescent="0.25">
      <c r="A341">
        <v>10047909</v>
      </c>
      <c r="B341" t="s">
        <v>12</v>
      </c>
      <c r="C341">
        <v>61</v>
      </c>
      <c r="D341">
        <v>39.529781447577037</v>
      </c>
    </row>
    <row r="342" spans="1:4" x14ac:dyDescent="0.25">
      <c r="A342">
        <v>10047909</v>
      </c>
      <c r="B342" t="s">
        <v>13</v>
      </c>
      <c r="C342">
        <v>90</v>
      </c>
      <c r="D342">
        <v>47.421984079246258</v>
      </c>
    </row>
    <row r="343" spans="1:4" x14ac:dyDescent="0.25">
      <c r="A343">
        <v>10047909</v>
      </c>
      <c r="B343" t="s">
        <v>14</v>
      </c>
      <c r="C343">
        <v>106</v>
      </c>
      <c r="D343">
        <v>56.763575874455299</v>
      </c>
    </row>
    <row r="344" spans="1:4" x14ac:dyDescent="0.25">
      <c r="A344">
        <v>10047909</v>
      </c>
      <c r="B344" t="s">
        <v>15</v>
      </c>
      <c r="C344">
        <v>34</v>
      </c>
      <c r="D344">
        <v>26.759149202658069</v>
      </c>
    </row>
    <row r="345" spans="1:4" x14ac:dyDescent="0.25">
      <c r="A345">
        <v>10047909</v>
      </c>
      <c r="B345" t="s">
        <v>16</v>
      </c>
      <c r="C345">
        <v>6</v>
      </c>
      <c r="D345">
        <v>11.899520002413469</v>
      </c>
    </row>
    <row r="346" spans="1:4" x14ac:dyDescent="0.25">
      <c r="A346">
        <v>10047909</v>
      </c>
      <c r="B346" t="s">
        <v>18</v>
      </c>
      <c r="C346">
        <v>60</v>
      </c>
      <c r="D346">
        <v>36.827464453900348</v>
      </c>
    </row>
    <row r="347" spans="1:4" x14ac:dyDescent="0.25">
      <c r="A347">
        <v>10047909</v>
      </c>
      <c r="B347" t="s">
        <v>19</v>
      </c>
      <c r="C347">
        <v>55</v>
      </c>
      <c r="D347">
        <v>55.605504945894253</v>
      </c>
    </row>
    <row r="348" spans="1:4" x14ac:dyDescent="0.25">
      <c r="A348">
        <v>10047909</v>
      </c>
      <c r="B348" t="s">
        <v>20</v>
      </c>
      <c r="C348">
        <v>65</v>
      </c>
      <c r="D348">
        <v>42.515238211613998</v>
      </c>
    </row>
    <row r="349" spans="1:4" x14ac:dyDescent="0.25">
      <c r="A349">
        <v>10052254</v>
      </c>
      <c r="B349" t="s">
        <v>5</v>
      </c>
      <c r="C349">
        <v>41</v>
      </c>
      <c r="D349">
        <v>23.135577833277068</v>
      </c>
    </row>
    <row r="350" spans="1:4" x14ac:dyDescent="0.25">
      <c r="A350">
        <v>10052254</v>
      </c>
      <c r="B350" t="s">
        <v>7</v>
      </c>
      <c r="C350">
        <v>113</v>
      </c>
      <c r="D350">
        <v>51.599639378526959</v>
      </c>
    </row>
    <row r="351" spans="1:4" x14ac:dyDescent="0.25">
      <c r="A351">
        <v>10052254</v>
      </c>
      <c r="B351" t="s">
        <v>8</v>
      </c>
      <c r="C351">
        <v>90</v>
      </c>
      <c r="D351">
        <v>44.703701286369188</v>
      </c>
    </row>
    <row r="352" spans="1:4" x14ac:dyDescent="0.25">
      <c r="A352">
        <v>10052254</v>
      </c>
      <c r="B352" t="s">
        <v>9</v>
      </c>
      <c r="C352">
        <v>59</v>
      </c>
      <c r="D352">
        <v>27.185257817178741</v>
      </c>
    </row>
    <row r="353" spans="1:4" x14ac:dyDescent="0.25">
      <c r="A353">
        <v>10052254</v>
      </c>
      <c r="B353" t="s">
        <v>10</v>
      </c>
      <c r="C353">
        <v>26</v>
      </c>
      <c r="D353">
        <v>13.49120697313583</v>
      </c>
    </row>
    <row r="354" spans="1:4" x14ac:dyDescent="0.25">
      <c r="A354">
        <v>10052254</v>
      </c>
      <c r="B354" t="s">
        <v>11</v>
      </c>
      <c r="C354">
        <v>7</v>
      </c>
      <c r="D354">
        <v>4.8802901438349764</v>
      </c>
    </row>
    <row r="355" spans="1:4" x14ac:dyDescent="0.25">
      <c r="A355">
        <v>10052254</v>
      </c>
      <c r="B355" t="s">
        <v>12</v>
      </c>
      <c r="C355">
        <v>38</v>
      </c>
      <c r="D355">
        <v>23.45589489672302</v>
      </c>
    </row>
    <row r="356" spans="1:4" x14ac:dyDescent="0.25">
      <c r="A356">
        <v>10052254</v>
      </c>
      <c r="B356" t="s">
        <v>13</v>
      </c>
      <c r="C356">
        <v>56</v>
      </c>
      <c r="D356">
        <v>22.508605287024722</v>
      </c>
    </row>
    <row r="357" spans="1:4" x14ac:dyDescent="0.25">
      <c r="A357">
        <v>10052254</v>
      </c>
      <c r="B357" t="s">
        <v>14</v>
      </c>
      <c r="C357">
        <v>129</v>
      </c>
      <c r="D357">
        <v>79.203436661984412</v>
      </c>
    </row>
    <row r="358" spans="1:4" x14ac:dyDescent="0.25">
      <c r="A358">
        <v>10052254</v>
      </c>
      <c r="B358" t="s">
        <v>15</v>
      </c>
      <c r="C358">
        <v>36</v>
      </c>
      <c r="D358">
        <v>19.175560103892391</v>
      </c>
    </row>
    <row r="359" spans="1:4" x14ac:dyDescent="0.25">
      <c r="A359">
        <v>10052254</v>
      </c>
      <c r="B359" t="s">
        <v>16</v>
      </c>
      <c r="C359">
        <v>6</v>
      </c>
      <c r="D359">
        <v>5.1528471335017381</v>
      </c>
    </row>
    <row r="360" spans="1:4" x14ac:dyDescent="0.25">
      <c r="A360">
        <v>10052254</v>
      </c>
      <c r="B360" t="s">
        <v>17</v>
      </c>
      <c r="C360">
        <v>3</v>
      </c>
      <c r="D360">
        <v>3.6841571744352319</v>
      </c>
    </row>
    <row r="361" spans="1:4" x14ac:dyDescent="0.25">
      <c r="A361">
        <v>10052254</v>
      </c>
      <c r="B361" t="s">
        <v>18</v>
      </c>
      <c r="C361">
        <v>58</v>
      </c>
      <c r="D361">
        <v>21.714236059619001</v>
      </c>
    </row>
    <row r="362" spans="1:4" x14ac:dyDescent="0.25">
      <c r="A362">
        <v>10052254</v>
      </c>
      <c r="B362" t="s">
        <v>19</v>
      </c>
      <c r="C362">
        <v>43</v>
      </c>
      <c r="D362">
        <v>22.83274274535929</v>
      </c>
    </row>
    <row r="363" spans="1:4" x14ac:dyDescent="0.25">
      <c r="A363">
        <v>10052254</v>
      </c>
      <c r="B363" t="s">
        <v>20</v>
      </c>
      <c r="C363">
        <v>61</v>
      </c>
      <c r="D363">
        <v>24.55429070829662</v>
      </c>
    </row>
    <row r="364" spans="1:4" x14ac:dyDescent="0.25">
      <c r="A364">
        <v>10053112</v>
      </c>
      <c r="B364" t="s">
        <v>4</v>
      </c>
      <c r="C364">
        <v>2</v>
      </c>
      <c r="D364">
        <v>6.3872539379628526</v>
      </c>
    </row>
    <row r="365" spans="1:4" x14ac:dyDescent="0.25">
      <c r="A365">
        <v>10053112</v>
      </c>
      <c r="B365" t="s">
        <v>5</v>
      </c>
      <c r="C365">
        <v>53</v>
      </c>
      <c r="D365">
        <v>46.161563950100167</v>
      </c>
    </row>
    <row r="366" spans="1:4" x14ac:dyDescent="0.25">
      <c r="A366">
        <v>10053112</v>
      </c>
      <c r="B366" t="s">
        <v>6</v>
      </c>
      <c r="C366">
        <v>80</v>
      </c>
      <c r="D366">
        <v>79.625845948382363</v>
      </c>
    </row>
    <row r="367" spans="1:4" x14ac:dyDescent="0.25">
      <c r="A367">
        <v>10053112</v>
      </c>
      <c r="B367" t="s">
        <v>7</v>
      </c>
      <c r="C367">
        <v>104</v>
      </c>
      <c r="D367">
        <v>72.518330380932667</v>
      </c>
    </row>
    <row r="368" spans="1:4" x14ac:dyDescent="0.25">
      <c r="A368">
        <v>10053112</v>
      </c>
      <c r="B368" t="s">
        <v>8</v>
      </c>
      <c r="C368">
        <v>91</v>
      </c>
      <c r="D368">
        <v>60.890674466453177</v>
      </c>
    </row>
    <row r="369" spans="1:4" x14ac:dyDescent="0.25">
      <c r="A369">
        <v>10053112</v>
      </c>
      <c r="B369" t="s">
        <v>9</v>
      </c>
      <c r="C369">
        <v>56</v>
      </c>
      <c r="D369">
        <v>46.643637098402891</v>
      </c>
    </row>
    <row r="370" spans="1:4" x14ac:dyDescent="0.25">
      <c r="A370">
        <v>10053112</v>
      </c>
      <c r="B370" t="s">
        <v>10</v>
      </c>
      <c r="C370">
        <v>34</v>
      </c>
      <c r="D370">
        <v>25.706427396711899</v>
      </c>
    </row>
    <row r="371" spans="1:4" x14ac:dyDescent="0.25">
      <c r="A371">
        <v>10053112</v>
      </c>
      <c r="B371" t="s">
        <v>11</v>
      </c>
      <c r="C371">
        <v>11</v>
      </c>
      <c r="D371">
        <v>15.506322071140371</v>
      </c>
    </row>
    <row r="372" spans="1:4" x14ac:dyDescent="0.25">
      <c r="A372">
        <v>10053112</v>
      </c>
      <c r="B372" t="s">
        <v>12</v>
      </c>
      <c r="C372">
        <v>50</v>
      </c>
      <c r="D372">
        <v>46.836371784549598</v>
      </c>
    </row>
    <row r="373" spans="1:4" x14ac:dyDescent="0.25">
      <c r="A373">
        <v>10053112</v>
      </c>
      <c r="B373" t="s">
        <v>13</v>
      </c>
      <c r="C373">
        <v>97</v>
      </c>
      <c r="D373">
        <v>84.341150779535283</v>
      </c>
    </row>
    <row r="374" spans="1:4" x14ac:dyDescent="0.25">
      <c r="A374">
        <v>10053112</v>
      </c>
      <c r="B374" t="s">
        <v>14</v>
      </c>
      <c r="C374">
        <v>98</v>
      </c>
      <c r="D374">
        <v>67.007507764046125</v>
      </c>
    </row>
    <row r="375" spans="1:4" x14ac:dyDescent="0.25">
      <c r="A375">
        <v>10053112</v>
      </c>
      <c r="B375" t="s">
        <v>15</v>
      </c>
      <c r="C375">
        <v>40</v>
      </c>
      <c r="D375">
        <v>41.684625515672231</v>
      </c>
    </row>
    <row r="376" spans="1:4" x14ac:dyDescent="0.25">
      <c r="A376">
        <v>10053112</v>
      </c>
      <c r="B376" t="s">
        <v>17</v>
      </c>
      <c r="C376">
        <v>3</v>
      </c>
      <c r="D376">
        <v>8.3325649652422467</v>
      </c>
    </row>
    <row r="377" spans="1:4" x14ac:dyDescent="0.25">
      <c r="A377">
        <v>10053112</v>
      </c>
      <c r="B377" t="s">
        <v>18</v>
      </c>
      <c r="C377">
        <v>79</v>
      </c>
      <c r="D377">
        <v>60.503898710657992</v>
      </c>
    </row>
    <row r="378" spans="1:4" x14ac:dyDescent="0.25">
      <c r="A378">
        <v>10053112</v>
      </c>
      <c r="B378" t="s">
        <v>19</v>
      </c>
      <c r="C378">
        <v>69</v>
      </c>
      <c r="D378">
        <v>76.42530698029401</v>
      </c>
    </row>
    <row r="379" spans="1:4" x14ac:dyDescent="0.25">
      <c r="A379">
        <v>10053112</v>
      </c>
      <c r="B379" t="s">
        <v>20</v>
      </c>
      <c r="C379">
        <v>77</v>
      </c>
      <c r="D379">
        <v>92.322403072655277</v>
      </c>
    </row>
    <row r="380" spans="1:4" x14ac:dyDescent="0.25">
      <c r="A380">
        <v>10055658</v>
      </c>
      <c r="B380" t="s">
        <v>4</v>
      </c>
      <c r="C380">
        <v>2</v>
      </c>
      <c r="D380">
        <v>1.903212050780005</v>
      </c>
    </row>
    <row r="381" spans="1:4" x14ac:dyDescent="0.25">
      <c r="A381">
        <v>10055658</v>
      </c>
      <c r="B381" t="s">
        <v>5</v>
      </c>
      <c r="C381">
        <v>47</v>
      </c>
      <c r="D381">
        <v>21.40412640903639</v>
      </c>
    </row>
    <row r="382" spans="1:4" x14ac:dyDescent="0.25">
      <c r="A382">
        <v>10055658</v>
      </c>
      <c r="B382" t="s">
        <v>6</v>
      </c>
      <c r="C382">
        <v>136</v>
      </c>
      <c r="D382">
        <v>72.556786496929661</v>
      </c>
    </row>
    <row r="383" spans="1:4" x14ac:dyDescent="0.25">
      <c r="A383">
        <v>10055658</v>
      </c>
      <c r="B383" t="s">
        <v>7</v>
      </c>
      <c r="C383">
        <v>127</v>
      </c>
      <c r="D383">
        <v>53.93246206468087</v>
      </c>
    </row>
    <row r="384" spans="1:4" x14ac:dyDescent="0.25">
      <c r="A384">
        <v>10055658</v>
      </c>
      <c r="B384" t="s">
        <v>8</v>
      </c>
      <c r="C384">
        <v>85</v>
      </c>
      <c r="D384">
        <v>60.531198988795239</v>
      </c>
    </row>
    <row r="385" spans="1:4" x14ac:dyDescent="0.25">
      <c r="A385">
        <v>10055658</v>
      </c>
      <c r="B385" t="s">
        <v>9</v>
      </c>
      <c r="C385">
        <v>75</v>
      </c>
      <c r="D385">
        <v>64.773843098758888</v>
      </c>
    </row>
    <row r="386" spans="1:4" x14ac:dyDescent="0.25">
      <c r="A386">
        <v>10055658</v>
      </c>
      <c r="B386" t="s">
        <v>10</v>
      </c>
      <c r="C386">
        <v>29</v>
      </c>
      <c r="D386">
        <v>12.190452075838831</v>
      </c>
    </row>
    <row r="387" spans="1:4" x14ac:dyDescent="0.25">
      <c r="A387">
        <v>10055658</v>
      </c>
      <c r="B387" t="s">
        <v>11</v>
      </c>
      <c r="C387">
        <v>10</v>
      </c>
      <c r="D387">
        <v>8.5702478257977592</v>
      </c>
    </row>
    <row r="388" spans="1:4" x14ac:dyDescent="0.25">
      <c r="A388">
        <v>10055658</v>
      </c>
      <c r="B388" t="s">
        <v>12</v>
      </c>
      <c r="C388">
        <v>49</v>
      </c>
      <c r="D388">
        <v>25.577605978704401</v>
      </c>
    </row>
    <row r="389" spans="1:4" x14ac:dyDescent="0.25">
      <c r="A389">
        <v>10055658</v>
      </c>
      <c r="B389" t="s">
        <v>13</v>
      </c>
      <c r="C389">
        <v>79</v>
      </c>
      <c r="D389">
        <v>34.84816121090342</v>
      </c>
    </row>
    <row r="390" spans="1:4" x14ac:dyDescent="0.25">
      <c r="A390">
        <v>10055658</v>
      </c>
      <c r="B390" t="s">
        <v>14</v>
      </c>
      <c r="C390">
        <v>122</v>
      </c>
      <c r="D390">
        <v>58.498033591265781</v>
      </c>
    </row>
    <row r="391" spans="1:4" x14ac:dyDescent="0.25">
      <c r="A391">
        <v>10055658</v>
      </c>
      <c r="B391" t="s">
        <v>15</v>
      </c>
      <c r="C391">
        <v>46</v>
      </c>
      <c r="D391">
        <v>26.02496134844213</v>
      </c>
    </row>
    <row r="392" spans="1:4" x14ac:dyDescent="0.25">
      <c r="A392">
        <v>10055658</v>
      </c>
      <c r="B392" t="s">
        <v>16</v>
      </c>
      <c r="C392">
        <v>10</v>
      </c>
      <c r="D392">
        <v>10.75902488877245</v>
      </c>
    </row>
    <row r="393" spans="1:4" x14ac:dyDescent="0.25">
      <c r="A393">
        <v>10055658</v>
      </c>
      <c r="B393" t="s">
        <v>17</v>
      </c>
      <c r="C393">
        <v>4</v>
      </c>
      <c r="D393">
        <v>3.42953860783149</v>
      </c>
    </row>
    <row r="394" spans="1:4" x14ac:dyDescent="0.25">
      <c r="A394">
        <v>10055658</v>
      </c>
      <c r="B394" t="s">
        <v>18</v>
      </c>
      <c r="C394">
        <v>82</v>
      </c>
      <c r="D394">
        <v>31.814113671490421</v>
      </c>
    </row>
    <row r="395" spans="1:4" x14ac:dyDescent="0.25">
      <c r="A395">
        <v>10055658</v>
      </c>
      <c r="B395" t="s">
        <v>19</v>
      </c>
      <c r="C395">
        <v>118</v>
      </c>
      <c r="D395">
        <v>60.075489883257717</v>
      </c>
    </row>
    <row r="396" spans="1:4" x14ac:dyDescent="0.25">
      <c r="A396">
        <v>10055658</v>
      </c>
      <c r="B396" t="s">
        <v>20</v>
      </c>
      <c r="C396">
        <v>66</v>
      </c>
      <c r="D396">
        <v>32.994765958644038</v>
      </c>
    </row>
    <row r="397" spans="1:4" x14ac:dyDescent="0.25">
      <c r="A397">
        <v>10062125</v>
      </c>
      <c r="B397" t="s">
        <v>4</v>
      </c>
      <c r="C397">
        <v>2</v>
      </c>
      <c r="D397">
        <v>2.8609190454935089</v>
      </c>
    </row>
    <row r="398" spans="1:4" x14ac:dyDescent="0.25">
      <c r="A398">
        <v>10062125</v>
      </c>
      <c r="B398" t="s">
        <v>5</v>
      </c>
      <c r="C398">
        <v>37</v>
      </c>
      <c r="D398">
        <v>19.022694118083699</v>
      </c>
    </row>
    <row r="399" spans="1:4" x14ac:dyDescent="0.25">
      <c r="A399">
        <v>10062125</v>
      </c>
      <c r="B399" t="s">
        <v>6</v>
      </c>
      <c r="C399">
        <v>113</v>
      </c>
      <c r="D399">
        <v>50.206499172552512</v>
      </c>
    </row>
    <row r="400" spans="1:4" x14ac:dyDescent="0.25">
      <c r="A400">
        <v>10062125</v>
      </c>
      <c r="B400" t="s">
        <v>7</v>
      </c>
      <c r="C400">
        <v>112</v>
      </c>
      <c r="D400">
        <v>55.729383411793883</v>
      </c>
    </row>
    <row r="401" spans="1:4" x14ac:dyDescent="0.25">
      <c r="A401">
        <v>10062125</v>
      </c>
      <c r="B401" t="s">
        <v>8</v>
      </c>
      <c r="C401">
        <v>113</v>
      </c>
      <c r="D401">
        <v>54.501152138372802</v>
      </c>
    </row>
    <row r="402" spans="1:4" x14ac:dyDescent="0.25">
      <c r="A402">
        <v>10062125</v>
      </c>
      <c r="B402" t="s">
        <v>9</v>
      </c>
      <c r="C402">
        <v>101</v>
      </c>
      <c r="D402">
        <v>48.428287341173217</v>
      </c>
    </row>
    <row r="403" spans="1:4" x14ac:dyDescent="0.25">
      <c r="A403">
        <v>10062125</v>
      </c>
      <c r="B403" t="s">
        <v>10</v>
      </c>
      <c r="C403">
        <v>42</v>
      </c>
      <c r="D403">
        <v>21.929773547524611</v>
      </c>
    </row>
    <row r="404" spans="1:4" x14ac:dyDescent="0.25">
      <c r="A404">
        <v>10062125</v>
      </c>
      <c r="B404" t="s">
        <v>22</v>
      </c>
      <c r="C404">
        <v>1</v>
      </c>
      <c r="D404">
        <v>2.1486596115433079</v>
      </c>
    </row>
    <row r="405" spans="1:4" x14ac:dyDescent="0.25">
      <c r="A405">
        <v>10062125</v>
      </c>
      <c r="B405" t="s">
        <v>11</v>
      </c>
      <c r="C405">
        <v>11</v>
      </c>
      <c r="D405">
        <v>6.316802675381588</v>
      </c>
    </row>
    <row r="406" spans="1:4" x14ac:dyDescent="0.25">
      <c r="A406">
        <v>10062125</v>
      </c>
      <c r="B406" t="s">
        <v>12</v>
      </c>
      <c r="C406">
        <v>65</v>
      </c>
      <c r="D406">
        <v>30.88022033719465</v>
      </c>
    </row>
    <row r="407" spans="1:4" x14ac:dyDescent="0.25">
      <c r="A407">
        <v>10062125</v>
      </c>
      <c r="B407" t="s">
        <v>13</v>
      </c>
      <c r="C407">
        <v>102</v>
      </c>
      <c r="D407">
        <v>37.958829078323809</v>
      </c>
    </row>
    <row r="408" spans="1:4" x14ac:dyDescent="0.25">
      <c r="A408">
        <v>10062125</v>
      </c>
      <c r="B408" t="s">
        <v>14</v>
      </c>
      <c r="C408">
        <v>135</v>
      </c>
      <c r="D408">
        <v>55.548203604142167</v>
      </c>
    </row>
    <row r="409" spans="1:4" x14ac:dyDescent="0.25">
      <c r="A409">
        <v>10062125</v>
      </c>
      <c r="B409" t="s">
        <v>15</v>
      </c>
      <c r="C409">
        <v>32</v>
      </c>
      <c r="D409">
        <v>14.37931801003662</v>
      </c>
    </row>
    <row r="410" spans="1:4" x14ac:dyDescent="0.25">
      <c r="A410">
        <v>10062125</v>
      </c>
      <c r="B410" t="s">
        <v>16</v>
      </c>
      <c r="C410">
        <v>7</v>
      </c>
      <c r="D410">
        <v>4.3019094239389011</v>
      </c>
    </row>
    <row r="411" spans="1:4" x14ac:dyDescent="0.25">
      <c r="A411">
        <v>10062125</v>
      </c>
      <c r="B411" t="s">
        <v>17</v>
      </c>
      <c r="C411">
        <v>5</v>
      </c>
      <c r="D411">
        <v>3.4531655750839629</v>
      </c>
    </row>
    <row r="412" spans="1:4" x14ac:dyDescent="0.25">
      <c r="A412">
        <v>10062125</v>
      </c>
      <c r="B412" t="s">
        <v>18</v>
      </c>
      <c r="C412">
        <v>129</v>
      </c>
      <c r="D412">
        <v>44.447710387893672</v>
      </c>
    </row>
    <row r="413" spans="1:4" x14ac:dyDescent="0.25">
      <c r="A413">
        <v>10062125</v>
      </c>
      <c r="B413" t="s">
        <v>19</v>
      </c>
      <c r="C413">
        <v>90</v>
      </c>
      <c r="D413">
        <v>34.795152991887051</v>
      </c>
    </row>
    <row r="414" spans="1:4" x14ac:dyDescent="0.25">
      <c r="A414">
        <v>10062125</v>
      </c>
      <c r="B414" t="s">
        <v>20</v>
      </c>
      <c r="C414">
        <v>118</v>
      </c>
      <c r="D414">
        <v>45.535644584807933</v>
      </c>
    </row>
    <row r="415" spans="1:4" x14ac:dyDescent="0.25">
      <c r="A415">
        <v>10064690</v>
      </c>
      <c r="B415" t="s">
        <v>4</v>
      </c>
      <c r="C415">
        <v>2</v>
      </c>
      <c r="D415">
        <v>4.3375123803551698</v>
      </c>
    </row>
    <row r="416" spans="1:4" x14ac:dyDescent="0.25">
      <c r="A416">
        <v>10064690</v>
      </c>
      <c r="B416" t="s">
        <v>5</v>
      </c>
      <c r="C416">
        <v>29</v>
      </c>
      <c r="D416">
        <v>25.73981322789513</v>
      </c>
    </row>
    <row r="417" spans="1:4" x14ac:dyDescent="0.25">
      <c r="A417">
        <v>10064690</v>
      </c>
      <c r="B417" t="s">
        <v>6</v>
      </c>
      <c r="C417">
        <v>57</v>
      </c>
      <c r="D417">
        <v>47.907942802344827</v>
      </c>
    </row>
    <row r="418" spans="1:4" x14ac:dyDescent="0.25">
      <c r="A418">
        <v>10064690</v>
      </c>
      <c r="B418" t="s">
        <v>7</v>
      </c>
      <c r="C418">
        <v>96</v>
      </c>
      <c r="D418">
        <v>40.219280725321752</v>
      </c>
    </row>
    <row r="419" spans="1:4" x14ac:dyDescent="0.25">
      <c r="A419">
        <v>10064690</v>
      </c>
      <c r="B419" t="s">
        <v>8</v>
      </c>
      <c r="C419">
        <v>63</v>
      </c>
      <c r="D419">
        <v>47.239322318582467</v>
      </c>
    </row>
    <row r="420" spans="1:4" x14ac:dyDescent="0.25">
      <c r="A420">
        <v>10064690</v>
      </c>
      <c r="B420" t="s">
        <v>9</v>
      </c>
      <c r="C420">
        <v>57</v>
      </c>
      <c r="D420">
        <v>25.438813379405669</v>
      </c>
    </row>
    <row r="421" spans="1:4" x14ac:dyDescent="0.25">
      <c r="A421">
        <v>10064690</v>
      </c>
      <c r="B421" t="s">
        <v>10</v>
      </c>
      <c r="C421">
        <v>20</v>
      </c>
      <c r="D421">
        <v>17.593056856615149</v>
      </c>
    </row>
    <row r="422" spans="1:4" x14ac:dyDescent="0.25">
      <c r="A422">
        <v>10064690</v>
      </c>
      <c r="B422" t="s">
        <v>11</v>
      </c>
      <c r="C422">
        <v>7</v>
      </c>
      <c r="D422">
        <v>8.3256081256245729</v>
      </c>
    </row>
    <row r="423" spans="1:4" x14ac:dyDescent="0.25">
      <c r="A423">
        <v>10064690</v>
      </c>
      <c r="B423" t="s">
        <v>12</v>
      </c>
      <c r="C423">
        <v>30</v>
      </c>
      <c r="D423">
        <v>19.218797463370599</v>
      </c>
    </row>
    <row r="424" spans="1:4" x14ac:dyDescent="0.25">
      <c r="A424">
        <v>10064690</v>
      </c>
      <c r="B424" t="s">
        <v>13</v>
      </c>
      <c r="C424">
        <v>63</v>
      </c>
      <c r="D424">
        <v>24.494198670053091</v>
      </c>
    </row>
    <row r="425" spans="1:4" x14ac:dyDescent="0.25">
      <c r="A425">
        <v>10064690</v>
      </c>
      <c r="B425" t="s">
        <v>14</v>
      </c>
      <c r="C425">
        <v>72</v>
      </c>
      <c r="D425">
        <v>47.661427619515877</v>
      </c>
    </row>
    <row r="426" spans="1:4" x14ac:dyDescent="0.25">
      <c r="A426">
        <v>10064690</v>
      </c>
      <c r="B426" t="s">
        <v>15</v>
      </c>
      <c r="C426">
        <v>24</v>
      </c>
      <c r="D426">
        <v>23.435614194375241</v>
      </c>
    </row>
    <row r="427" spans="1:4" x14ac:dyDescent="0.25">
      <c r="A427">
        <v>10064690</v>
      </c>
      <c r="B427" t="s">
        <v>16</v>
      </c>
      <c r="C427">
        <v>2</v>
      </c>
      <c r="D427">
        <v>3.9807331355525881</v>
      </c>
    </row>
    <row r="428" spans="1:4" x14ac:dyDescent="0.25">
      <c r="A428">
        <v>10064690</v>
      </c>
      <c r="B428" t="s">
        <v>24</v>
      </c>
      <c r="C428">
        <v>1</v>
      </c>
      <c r="D428">
        <v>3.4545051302870071</v>
      </c>
    </row>
    <row r="429" spans="1:4" x14ac:dyDescent="0.25">
      <c r="A429">
        <v>10064690</v>
      </c>
      <c r="B429" t="s">
        <v>17</v>
      </c>
      <c r="C429">
        <v>2</v>
      </c>
      <c r="D429">
        <v>3.4213882424221151</v>
      </c>
    </row>
    <row r="430" spans="1:4" x14ac:dyDescent="0.25">
      <c r="A430">
        <v>10064690</v>
      </c>
      <c r="B430" t="s">
        <v>18</v>
      </c>
      <c r="C430">
        <v>69</v>
      </c>
      <c r="D430">
        <v>37.207446402245971</v>
      </c>
    </row>
    <row r="431" spans="1:4" x14ac:dyDescent="0.25">
      <c r="A431">
        <v>10064690</v>
      </c>
      <c r="B431" t="s">
        <v>19</v>
      </c>
      <c r="C431">
        <v>65</v>
      </c>
      <c r="D431">
        <v>42.960768474336277</v>
      </c>
    </row>
    <row r="432" spans="1:4" x14ac:dyDescent="0.25">
      <c r="A432">
        <v>10064690</v>
      </c>
      <c r="B432" t="s">
        <v>20</v>
      </c>
      <c r="C432">
        <v>78</v>
      </c>
      <c r="D432">
        <v>54.004923025103039</v>
      </c>
    </row>
    <row r="433" spans="1:4" x14ac:dyDescent="0.25">
      <c r="A433">
        <v>10068449</v>
      </c>
      <c r="B433" t="s">
        <v>4</v>
      </c>
      <c r="C433">
        <v>3</v>
      </c>
      <c r="D433">
        <v>3.9209762319917338</v>
      </c>
    </row>
    <row r="434" spans="1:4" x14ac:dyDescent="0.25">
      <c r="A434">
        <v>10068449</v>
      </c>
      <c r="B434" t="s">
        <v>5</v>
      </c>
      <c r="C434">
        <v>37</v>
      </c>
      <c r="D434">
        <v>22.164689114264629</v>
      </c>
    </row>
    <row r="435" spans="1:4" x14ac:dyDescent="0.25">
      <c r="A435">
        <v>10068449</v>
      </c>
      <c r="B435" t="s">
        <v>6</v>
      </c>
      <c r="C435">
        <v>91</v>
      </c>
      <c r="D435">
        <v>45.458552909384593</v>
      </c>
    </row>
    <row r="436" spans="1:4" x14ac:dyDescent="0.25">
      <c r="A436">
        <v>10068449</v>
      </c>
      <c r="B436" t="s">
        <v>7</v>
      </c>
      <c r="C436">
        <v>125</v>
      </c>
      <c r="D436">
        <v>52.282829952789783</v>
      </c>
    </row>
    <row r="437" spans="1:4" x14ac:dyDescent="0.25">
      <c r="A437">
        <v>10068449</v>
      </c>
      <c r="B437" t="s">
        <v>8</v>
      </c>
      <c r="C437">
        <v>83</v>
      </c>
      <c r="D437">
        <v>42.199333780347771</v>
      </c>
    </row>
    <row r="438" spans="1:4" x14ac:dyDescent="0.25">
      <c r="A438">
        <v>10068449</v>
      </c>
      <c r="B438" t="s">
        <v>9</v>
      </c>
      <c r="C438">
        <v>85</v>
      </c>
      <c r="D438">
        <v>41.035140088697879</v>
      </c>
    </row>
    <row r="439" spans="1:4" x14ac:dyDescent="0.25">
      <c r="A439">
        <v>10068449</v>
      </c>
      <c r="B439" t="s">
        <v>10</v>
      </c>
      <c r="C439">
        <v>31</v>
      </c>
      <c r="D439">
        <v>16.66569062303401</v>
      </c>
    </row>
    <row r="440" spans="1:4" x14ac:dyDescent="0.25">
      <c r="A440">
        <v>10068449</v>
      </c>
      <c r="B440" t="s">
        <v>11</v>
      </c>
      <c r="C440">
        <v>4</v>
      </c>
      <c r="D440">
        <v>4.7320942915907427</v>
      </c>
    </row>
    <row r="441" spans="1:4" x14ac:dyDescent="0.25">
      <c r="A441">
        <v>10068449</v>
      </c>
      <c r="B441" t="s">
        <v>12</v>
      </c>
      <c r="C441">
        <v>82</v>
      </c>
      <c r="D441">
        <v>52.627068750136189</v>
      </c>
    </row>
    <row r="442" spans="1:4" x14ac:dyDescent="0.25">
      <c r="A442">
        <v>10068449</v>
      </c>
      <c r="B442" t="s">
        <v>13</v>
      </c>
      <c r="C442">
        <v>91</v>
      </c>
      <c r="D442">
        <v>52.330369022175027</v>
      </c>
    </row>
    <row r="443" spans="1:4" x14ac:dyDescent="0.25">
      <c r="A443">
        <v>10068449</v>
      </c>
      <c r="B443" t="s">
        <v>14</v>
      </c>
      <c r="C443">
        <v>125</v>
      </c>
      <c r="D443">
        <v>51.662453335126983</v>
      </c>
    </row>
    <row r="444" spans="1:4" x14ac:dyDescent="0.25">
      <c r="A444">
        <v>10068449</v>
      </c>
      <c r="B444" t="s">
        <v>15</v>
      </c>
      <c r="C444">
        <v>47</v>
      </c>
      <c r="D444">
        <v>24.49564289138695</v>
      </c>
    </row>
    <row r="445" spans="1:4" x14ac:dyDescent="0.25">
      <c r="A445">
        <v>10068449</v>
      </c>
      <c r="B445" t="s">
        <v>16</v>
      </c>
      <c r="C445">
        <v>7</v>
      </c>
      <c r="D445">
        <v>7.3454378151123594</v>
      </c>
    </row>
    <row r="446" spans="1:4" x14ac:dyDescent="0.25">
      <c r="A446">
        <v>10068449</v>
      </c>
      <c r="B446" t="s">
        <v>17</v>
      </c>
      <c r="C446">
        <v>2</v>
      </c>
      <c r="D446">
        <v>3.6428376674542808</v>
      </c>
    </row>
    <row r="447" spans="1:4" x14ac:dyDescent="0.25">
      <c r="A447">
        <v>10068449</v>
      </c>
      <c r="B447" t="s">
        <v>18</v>
      </c>
      <c r="C447">
        <v>96</v>
      </c>
      <c r="D447">
        <v>34.484183222194943</v>
      </c>
    </row>
    <row r="448" spans="1:4" x14ac:dyDescent="0.25">
      <c r="A448">
        <v>10068449</v>
      </c>
      <c r="B448" t="s">
        <v>19</v>
      </c>
      <c r="C448">
        <v>91</v>
      </c>
      <c r="D448">
        <v>39.386574895132703</v>
      </c>
    </row>
    <row r="449" spans="1:4" x14ac:dyDescent="0.25">
      <c r="A449">
        <v>10068449</v>
      </c>
      <c r="B449" t="s">
        <v>20</v>
      </c>
      <c r="C449">
        <v>97</v>
      </c>
      <c r="D449">
        <v>33.550279475107217</v>
      </c>
    </row>
    <row r="450" spans="1:4" x14ac:dyDescent="0.25">
      <c r="A450">
        <v>10072594</v>
      </c>
      <c r="B450" t="s">
        <v>4</v>
      </c>
      <c r="C450">
        <v>2</v>
      </c>
      <c r="D450">
        <v>3.188827881260127</v>
      </c>
    </row>
    <row r="451" spans="1:4" x14ac:dyDescent="0.25">
      <c r="A451">
        <v>10072594</v>
      </c>
      <c r="B451" t="s">
        <v>5</v>
      </c>
      <c r="C451">
        <v>32</v>
      </c>
      <c r="D451">
        <v>16.370805430007859</v>
      </c>
    </row>
    <row r="452" spans="1:4" x14ac:dyDescent="0.25">
      <c r="A452">
        <v>10072594</v>
      </c>
      <c r="B452" t="s">
        <v>6</v>
      </c>
      <c r="C452">
        <v>64</v>
      </c>
      <c r="D452">
        <v>39.887206664074661</v>
      </c>
    </row>
    <row r="453" spans="1:4" x14ac:dyDescent="0.25">
      <c r="A453">
        <v>10072594</v>
      </c>
      <c r="B453" t="s">
        <v>7</v>
      </c>
      <c r="C453">
        <v>96</v>
      </c>
      <c r="D453">
        <v>50.645457641197751</v>
      </c>
    </row>
    <row r="454" spans="1:4" x14ac:dyDescent="0.25">
      <c r="A454">
        <v>10072594</v>
      </c>
      <c r="B454" t="s">
        <v>8</v>
      </c>
      <c r="C454">
        <v>76</v>
      </c>
      <c r="D454">
        <v>42.807948668882467</v>
      </c>
    </row>
    <row r="455" spans="1:4" x14ac:dyDescent="0.25">
      <c r="A455">
        <v>10072594</v>
      </c>
      <c r="B455" t="s">
        <v>9</v>
      </c>
      <c r="C455">
        <v>62</v>
      </c>
      <c r="D455">
        <v>40.492262869449341</v>
      </c>
    </row>
    <row r="456" spans="1:4" x14ac:dyDescent="0.25">
      <c r="A456">
        <v>10072594</v>
      </c>
      <c r="B456" t="s">
        <v>10</v>
      </c>
      <c r="C456">
        <v>13</v>
      </c>
      <c r="D456">
        <v>7.946159335227363</v>
      </c>
    </row>
    <row r="457" spans="1:4" x14ac:dyDescent="0.25">
      <c r="A457">
        <v>10072594</v>
      </c>
      <c r="B457" t="s">
        <v>11</v>
      </c>
      <c r="C457">
        <v>6</v>
      </c>
      <c r="D457">
        <v>6.0061290686108508</v>
      </c>
    </row>
    <row r="458" spans="1:4" x14ac:dyDescent="0.25">
      <c r="A458">
        <v>10072594</v>
      </c>
      <c r="B458" t="s">
        <v>12</v>
      </c>
      <c r="C458">
        <v>51</v>
      </c>
      <c r="D458">
        <v>22.336372756349409</v>
      </c>
    </row>
    <row r="459" spans="1:4" x14ac:dyDescent="0.25">
      <c r="A459">
        <v>10072594</v>
      </c>
      <c r="B459" t="s">
        <v>13</v>
      </c>
      <c r="C459">
        <v>64</v>
      </c>
      <c r="D459">
        <v>27.139677491863988</v>
      </c>
    </row>
    <row r="460" spans="1:4" x14ac:dyDescent="0.25">
      <c r="A460">
        <v>10072594</v>
      </c>
      <c r="B460" t="s">
        <v>14</v>
      </c>
      <c r="C460">
        <v>97</v>
      </c>
      <c r="D460">
        <v>50.512491248993577</v>
      </c>
    </row>
    <row r="461" spans="1:4" x14ac:dyDescent="0.25">
      <c r="A461">
        <v>10072594</v>
      </c>
      <c r="B461" t="s">
        <v>15</v>
      </c>
      <c r="C461">
        <v>23</v>
      </c>
      <c r="D461">
        <v>11.97747677305572</v>
      </c>
    </row>
    <row r="462" spans="1:4" x14ac:dyDescent="0.25">
      <c r="A462">
        <v>10072594</v>
      </c>
      <c r="B462" t="s">
        <v>16</v>
      </c>
      <c r="C462">
        <v>6</v>
      </c>
      <c r="D462">
        <v>3.5939470320063598</v>
      </c>
    </row>
    <row r="463" spans="1:4" x14ac:dyDescent="0.25">
      <c r="A463">
        <v>10072594</v>
      </c>
      <c r="B463" t="s">
        <v>17</v>
      </c>
      <c r="C463">
        <v>2</v>
      </c>
      <c r="D463">
        <v>2.8103798743562969</v>
      </c>
    </row>
    <row r="464" spans="1:4" x14ac:dyDescent="0.25">
      <c r="A464">
        <v>10072594</v>
      </c>
      <c r="B464" t="s">
        <v>18</v>
      </c>
      <c r="C464">
        <v>48</v>
      </c>
      <c r="D464">
        <v>20.799651184022132</v>
      </c>
    </row>
    <row r="465" spans="1:4" x14ac:dyDescent="0.25">
      <c r="A465">
        <v>10072594</v>
      </c>
      <c r="B465" t="s">
        <v>19</v>
      </c>
      <c r="C465">
        <v>61</v>
      </c>
      <c r="D465">
        <v>33.875756544315138</v>
      </c>
    </row>
    <row r="466" spans="1:4" x14ac:dyDescent="0.25">
      <c r="A466">
        <v>10072594</v>
      </c>
      <c r="B466" t="s">
        <v>20</v>
      </c>
      <c r="C466">
        <v>86</v>
      </c>
      <c r="D466">
        <v>36.749642815587038</v>
      </c>
    </row>
    <row r="467" spans="1:4" x14ac:dyDescent="0.25">
      <c r="A467">
        <v>10072947</v>
      </c>
      <c r="B467" t="s">
        <v>4</v>
      </c>
      <c r="C467">
        <v>2</v>
      </c>
      <c r="D467">
        <v>4.6853394913790973</v>
      </c>
    </row>
    <row r="468" spans="1:4" x14ac:dyDescent="0.25">
      <c r="A468">
        <v>10072947</v>
      </c>
      <c r="B468" t="s">
        <v>6</v>
      </c>
      <c r="C468">
        <v>85</v>
      </c>
      <c r="D468">
        <v>40.550239940328453</v>
      </c>
    </row>
    <row r="469" spans="1:4" x14ac:dyDescent="0.25">
      <c r="A469">
        <v>10072947</v>
      </c>
      <c r="B469" t="s">
        <v>7</v>
      </c>
      <c r="C469">
        <v>87</v>
      </c>
      <c r="D469">
        <v>39.726645705859752</v>
      </c>
    </row>
    <row r="470" spans="1:4" x14ac:dyDescent="0.25">
      <c r="A470">
        <v>10072947</v>
      </c>
      <c r="B470" t="s">
        <v>8</v>
      </c>
      <c r="C470">
        <v>63</v>
      </c>
      <c r="D470">
        <v>33.192844371952731</v>
      </c>
    </row>
    <row r="471" spans="1:4" x14ac:dyDescent="0.25">
      <c r="A471">
        <v>10072947</v>
      </c>
      <c r="B471" t="s">
        <v>9</v>
      </c>
      <c r="C471">
        <v>48</v>
      </c>
      <c r="D471">
        <v>25.50757605889476</v>
      </c>
    </row>
    <row r="472" spans="1:4" x14ac:dyDescent="0.25">
      <c r="A472">
        <v>10072947</v>
      </c>
      <c r="B472" t="s">
        <v>10</v>
      </c>
      <c r="C472">
        <v>32</v>
      </c>
      <c r="D472">
        <v>20.674222117432851</v>
      </c>
    </row>
    <row r="473" spans="1:4" x14ac:dyDescent="0.25">
      <c r="A473">
        <v>10072947</v>
      </c>
      <c r="B473" t="s">
        <v>11</v>
      </c>
      <c r="C473">
        <v>4</v>
      </c>
      <c r="D473">
        <v>6.0741357196897026</v>
      </c>
    </row>
    <row r="474" spans="1:4" x14ac:dyDescent="0.25">
      <c r="A474">
        <v>10072947</v>
      </c>
      <c r="B474" t="s">
        <v>12</v>
      </c>
      <c r="C474">
        <v>38</v>
      </c>
      <c r="D474">
        <v>26.053993494804921</v>
      </c>
    </row>
    <row r="475" spans="1:4" x14ac:dyDescent="0.25">
      <c r="A475">
        <v>10072947</v>
      </c>
      <c r="B475" t="s">
        <v>13</v>
      </c>
      <c r="C475">
        <v>56</v>
      </c>
      <c r="D475">
        <v>29.473567110492471</v>
      </c>
    </row>
    <row r="476" spans="1:4" x14ac:dyDescent="0.25">
      <c r="A476">
        <v>10072947</v>
      </c>
      <c r="B476" t="s">
        <v>14</v>
      </c>
      <c r="C476">
        <v>87</v>
      </c>
      <c r="D476">
        <v>45.707380727990952</v>
      </c>
    </row>
    <row r="477" spans="1:4" x14ac:dyDescent="0.25">
      <c r="A477">
        <v>10072947</v>
      </c>
      <c r="B477" t="s">
        <v>15</v>
      </c>
      <c r="C477">
        <v>36</v>
      </c>
      <c r="D477">
        <v>22.575103170682549</v>
      </c>
    </row>
    <row r="478" spans="1:4" x14ac:dyDescent="0.25">
      <c r="A478">
        <v>10072947</v>
      </c>
      <c r="B478" t="s">
        <v>16</v>
      </c>
      <c r="C478">
        <v>4</v>
      </c>
      <c r="D478">
        <v>6.5090403943391726</v>
      </c>
    </row>
    <row r="479" spans="1:4" x14ac:dyDescent="0.25">
      <c r="A479">
        <v>10072947</v>
      </c>
      <c r="B479" t="s">
        <v>17</v>
      </c>
      <c r="C479">
        <v>5</v>
      </c>
      <c r="D479">
        <v>7.3072211185885969</v>
      </c>
    </row>
    <row r="480" spans="1:4" x14ac:dyDescent="0.25">
      <c r="A480">
        <v>10072947</v>
      </c>
      <c r="B480" t="s">
        <v>18</v>
      </c>
      <c r="C480">
        <v>66</v>
      </c>
      <c r="D480">
        <v>30.268707241220721</v>
      </c>
    </row>
    <row r="481" spans="1:4" x14ac:dyDescent="0.25">
      <c r="A481">
        <v>10072947</v>
      </c>
      <c r="B481" t="s">
        <v>19</v>
      </c>
      <c r="C481">
        <v>95</v>
      </c>
      <c r="D481">
        <v>41.586412564479573</v>
      </c>
    </row>
    <row r="482" spans="1:4" x14ac:dyDescent="0.25">
      <c r="A482">
        <v>10072947</v>
      </c>
      <c r="B482" t="s">
        <v>20</v>
      </c>
      <c r="C482">
        <v>97</v>
      </c>
      <c r="D482">
        <v>39.012398801041229</v>
      </c>
    </row>
    <row r="483" spans="1:4" x14ac:dyDescent="0.25">
      <c r="A483">
        <v>10073494</v>
      </c>
      <c r="B483" t="s">
        <v>4</v>
      </c>
      <c r="C483">
        <v>5</v>
      </c>
      <c r="D483">
        <v>4.6908668011344652</v>
      </c>
    </row>
    <row r="484" spans="1:4" x14ac:dyDescent="0.25">
      <c r="A484">
        <v>10073494</v>
      </c>
      <c r="B484" t="s">
        <v>5</v>
      </c>
      <c r="C484">
        <v>33</v>
      </c>
      <c r="D484">
        <v>16.346185795658339</v>
      </c>
    </row>
    <row r="485" spans="1:4" x14ac:dyDescent="0.25">
      <c r="A485">
        <v>10073494</v>
      </c>
      <c r="B485" t="s">
        <v>6</v>
      </c>
      <c r="C485">
        <v>79</v>
      </c>
      <c r="D485">
        <v>39.220529093672859</v>
      </c>
    </row>
    <row r="486" spans="1:4" x14ac:dyDescent="0.25">
      <c r="A486">
        <v>10073494</v>
      </c>
      <c r="B486" t="s">
        <v>9</v>
      </c>
      <c r="C486">
        <v>57</v>
      </c>
      <c r="D486">
        <v>22.641463812619222</v>
      </c>
    </row>
    <row r="487" spans="1:4" x14ac:dyDescent="0.25">
      <c r="A487">
        <v>10073494</v>
      </c>
      <c r="B487" t="s">
        <v>10</v>
      </c>
      <c r="C487">
        <v>26</v>
      </c>
      <c r="D487">
        <v>13.84402562850191</v>
      </c>
    </row>
    <row r="488" spans="1:4" x14ac:dyDescent="0.25">
      <c r="A488">
        <v>10073494</v>
      </c>
      <c r="B488" t="s">
        <v>11</v>
      </c>
      <c r="C488">
        <v>5</v>
      </c>
      <c r="D488">
        <v>4.5662755447086019</v>
      </c>
    </row>
    <row r="489" spans="1:4" x14ac:dyDescent="0.25">
      <c r="A489">
        <v>10073494</v>
      </c>
      <c r="B489" t="s">
        <v>12</v>
      </c>
      <c r="C489">
        <v>26</v>
      </c>
      <c r="D489">
        <v>11.972515386278751</v>
      </c>
    </row>
    <row r="490" spans="1:4" x14ac:dyDescent="0.25">
      <c r="A490">
        <v>10073494</v>
      </c>
      <c r="B490" t="s">
        <v>13</v>
      </c>
      <c r="C490">
        <v>72</v>
      </c>
      <c r="D490">
        <v>22.248803424616</v>
      </c>
    </row>
    <row r="491" spans="1:4" x14ac:dyDescent="0.25">
      <c r="A491">
        <v>10073494</v>
      </c>
      <c r="B491" t="s">
        <v>15</v>
      </c>
      <c r="C491">
        <v>52</v>
      </c>
      <c r="D491">
        <v>24.629152651862992</v>
      </c>
    </row>
    <row r="492" spans="1:4" x14ac:dyDescent="0.25">
      <c r="A492">
        <v>10073494</v>
      </c>
      <c r="B492" t="s">
        <v>16</v>
      </c>
      <c r="C492">
        <v>7</v>
      </c>
      <c r="D492">
        <v>5.7941320419529863</v>
      </c>
    </row>
    <row r="493" spans="1:4" x14ac:dyDescent="0.25">
      <c r="A493">
        <v>10073494</v>
      </c>
      <c r="B493" t="s">
        <v>18</v>
      </c>
      <c r="C493">
        <v>72</v>
      </c>
      <c r="D493">
        <v>22.998769203652341</v>
      </c>
    </row>
    <row r="494" spans="1:4" x14ac:dyDescent="0.25">
      <c r="A494">
        <v>10073494</v>
      </c>
      <c r="B494" t="s">
        <v>19</v>
      </c>
      <c r="C494">
        <v>74</v>
      </c>
      <c r="D494">
        <v>26.87870607273442</v>
      </c>
    </row>
    <row r="495" spans="1:4" x14ac:dyDescent="0.25">
      <c r="A495">
        <v>10073494</v>
      </c>
      <c r="B495" t="s">
        <v>20</v>
      </c>
      <c r="C495">
        <v>80</v>
      </c>
      <c r="D495">
        <v>23.225137526873581</v>
      </c>
    </row>
    <row r="496" spans="1:4" x14ac:dyDescent="0.25">
      <c r="A496">
        <v>10073889</v>
      </c>
      <c r="B496" t="s">
        <v>4</v>
      </c>
      <c r="C496">
        <v>6</v>
      </c>
      <c r="D496">
        <v>9.1735856902628026</v>
      </c>
    </row>
    <row r="497" spans="1:4" x14ac:dyDescent="0.25">
      <c r="A497">
        <v>10073889</v>
      </c>
      <c r="B497" t="s">
        <v>5</v>
      </c>
      <c r="C497">
        <v>37</v>
      </c>
      <c r="D497">
        <v>29.760818129406161</v>
      </c>
    </row>
    <row r="498" spans="1:4" x14ac:dyDescent="0.25">
      <c r="A498">
        <v>10073889</v>
      </c>
      <c r="B498" t="s">
        <v>6</v>
      </c>
      <c r="C498">
        <v>72</v>
      </c>
      <c r="D498">
        <v>36.635640088376213</v>
      </c>
    </row>
    <row r="499" spans="1:4" x14ac:dyDescent="0.25">
      <c r="A499">
        <v>10073889</v>
      </c>
      <c r="B499" t="s">
        <v>7</v>
      </c>
      <c r="C499">
        <v>109</v>
      </c>
      <c r="D499">
        <v>37.592084482094009</v>
      </c>
    </row>
    <row r="500" spans="1:4" x14ac:dyDescent="0.25">
      <c r="A500">
        <v>10073889</v>
      </c>
      <c r="B500" t="s">
        <v>9</v>
      </c>
      <c r="C500">
        <v>51</v>
      </c>
      <c r="D500">
        <v>32.950374015439458</v>
      </c>
    </row>
    <row r="501" spans="1:4" x14ac:dyDescent="0.25">
      <c r="A501">
        <v>10073889</v>
      </c>
      <c r="B501" t="s">
        <v>10</v>
      </c>
      <c r="C501">
        <v>20</v>
      </c>
      <c r="D501">
        <v>11.40587510780774</v>
      </c>
    </row>
    <row r="502" spans="1:4" x14ac:dyDescent="0.25">
      <c r="A502">
        <v>10073889</v>
      </c>
      <c r="B502" t="s">
        <v>11</v>
      </c>
      <c r="C502">
        <v>10</v>
      </c>
      <c r="D502">
        <v>6.9415276252492362</v>
      </c>
    </row>
    <row r="503" spans="1:4" x14ac:dyDescent="0.25">
      <c r="A503">
        <v>10073889</v>
      </c>
      <c r="B503" t="s">
        <v>12</v>
      </c>
      <c r="C503">
        <v>42</v>
      </c>
      <c r="D503">
        <v>25.587955254665609</v>
      </c>
    </row>
    <row r="504" spans="1:4" x14ac:dyDescent="0.25">
      <c r="A504">
        <v>10073889</v>
      </c>
      <c r="B504" t="s">
        <v>13</v>
      </c>
      <c r="C504">
        <v>77</v>
      </c>
      <c r="D504">
        <v>35.434524084021938</v>
      </c>
    </row>
    <row r="505" spans="1:4" x14ac:dyDescent="0.25">
      <c r="A505">
        <v>10073889</v>
      </c>
      <c r="B505" t="s">
        <v>14</v>
      </c>
      <c r="C505">
        <v>95</v>
      </c>
      <c r="D505">
        <v>55.633053677518447</v>
      </c>
    </row>
    <row r="506" spans="1:4" x14ac:dyDescent="0.25">
      <c r="A506">
        <v>10073889</v>
      </c>
      <c r="B506" t="s">
        <v>15</v>
      </c>
      <c r="C506">
        <v>32</v>
      </c>
      <c r="D506">
        <v>18.520642200303548</v>
      </c>
    </row>
    <row r="507" spans="1:4" x14ac:dyDescent="0.25">
      <c r="A507">
        <v>10073889</v>
      </c>
      <c r="B507" t="s">
        <v>16</v>
      </c>
      <c r="C507">
        <v>11</v>
      </c>
      <c r="D507">
        <v>7.1449816869865224</v>
      </c>
    </row>
    <row r="508" spans="1:4" x14ac:dyDescent="0.25">
      <c r="A508">
        <v>10073889</v>
      </c>
      <c r="B508" t="s">
        <v>17</v>
      </c>
      <c r="C508">
        <v>7</v>
      </c>
      <c r="D508">
        <v>9.8226685313650055</v>
      </c>
    </row>
    <row r="509" spans="1:4" x14ac:dyDescent="0.25">
      <c r="A509">
        <v>10073889</v>
      </c>
      <c r="B509" t="s">
        <v>18</v>
      </c>
      <c r="C509">
        <v>59</v>
      </c>
      <c r="D509">
        <v>31.975450312964941</v>
      </c>
    </row>
    <row r="510" spans="1:4" x14ac:dyDescent="0.25">
      <c r="A510">
        <v>10073889</v>
      </c>
      <c r="B510" t="s">
        <v>20</v>
      </c>
      <c r="C510">
        <v>80</v>
      </c>
      <c r="D510">
        <v>31.97212982132627</v>
      </c>
    </row>
    <row r="511" spans="1:4" x14ac:dyDescent="0.25">
      <c r="A511">
        <v>10074145</v>
      </c>
      <c r="B511" t="s">
        <v>25</v>
      </c>
      <c r="C511">
        <v>1</v>
      </c>
      <c r="D511">
        <v>4.8607130573020862</v>
      </c>
    </row>
    <row r="512" spans="1:4" x14ac:dyDescent="0.25">
      <c r="A512">
        <v>10074145</v>
      </c>
      <c r="B512" t="s">
        <v>4</v>
      </c>
      <c r="C512">
        <v>2</v>
      </c>
      <c r="D512">
        <v>4.6863285729386357</v>
      </c>
    </row>
    <row r="513" spans="1:4" x14ac:dyDescent="0.25">
      <c r="A513">
        <v>10074145</v>
      </c>
      <c r="B513" t="s">
        <v>5</v>
      </c>
      <c r="C513">
        <v>35</v>
      </c>
      <c r="D513">
        <v>59.464794395588733</v>
      </c>
    </row>
    <row r="514" spans="1:4" x14ac:dyDescent="0.25">
      <c r="A514">
        <v>10074145</v>
      </c>
      <c r="B514" t="s">
        <v>6</v>
      </c>
      <c r="C514">
        <v>53</v>
      </c>
      <c r="D514">
        <v>66.185983841364248</v>
      </c>
    </row>
    <row r="515" spans="1:4" x14ac:dyDescent="0.25">
      <c r="A515">
        <v>10074145</v>
      </c>
      <c r="B515" t="s">
        <v>7</v>
      </c>
      <c r="C515">
        <v>95</v>
      </c>
      <c r="D515">
        <v>116.429554879983</v>
      </c>
    </row>
    <row r="516" spans="1:4" x14ac:dyDescent="0.25">
      <c r="A516">
        <v>10074145</v>
      </c>
      <c r="B516" t="s">
        <v>8</v>
      </c>
      <c r="C516">
        <v>64</v>
      </c>
      <c r="D516">
        <v>112.29568917838439</v>
      </c>
    </row>
    <row r="517" spans="1:4" x14ac:dyDescent="0.25">
      <c r="A517">
        <v>10074145</v>
      </c>
      <c r="B517" t="s">
        <v>9</v>
      </c>
      <c r="C517">
        <v>60</v>
      </c>
      <c r="D517">
        <v>84.787601513481277</v>
      </c>
    </row>
    <row r="518" spans="1:4" x14ac:dyDescent="0.25">
      <c r="A518">
        <v>10074145</v>
      </c>
      <c r="B518" t="s">
        <v>10</v>
      </c>
      <c r="C518">
        <v>26</v>
      </c>
      <c r="D518">
        <v>36.935236473154333</v>
      </c>
    </row>
    <row r="519" spans="1:4" x14ac:dyDescent="0.25">
      <c r="A519">
        <v>10074145</v>
      </c>
      <c r="B519" t="s">
        <v>11</v>
      </c>
      <c r="C519">
        <v>5</v>
      </c>
      <c r="D519">
        <v>6.5253656719637618</v>
      </c>
    </row>
    <row r="520" spans="1:4" x14ac:dyDescent="0.25">
      <c r="A520">
        <v>10074145</v>
      </c>
      <c r="B520" t="s">
        <v>12</v>
      </c>
      <c r="C520">
        <v>45</v>
      </c>
      <c r="D520">
        <v>60.75779567945164</v>
      </c>
    </row>
    <row r="521" spans="1:4" x14ac:dyDescent="0.25">
      <c r="A521">
        <v>10074145</v>
      </c>
      <c r="B521" t="s">
        <v>13</v>
      </c>
      <c r="C521">
        <v>90</v>
      </c>
      <c r="D521">
        <v>135.31051423773121</v>
      </c>
    </row>
    <row r="522" spans="1:4" x14ac:dyDescent="0.25">
      <c r="A522">
        <v>10074145</v>
      </c>
      <c r="B522" t="s">
        <v>14</v>
      </c>
      <c r="C522">
        <v>92</v>
      </c>
      <c r="D522">
        <v>161.32818183571251</v>
      </c>
    </row>
    <row r="523" spans="1:4" x14ac:dyDescent="0.25">
      <c r="A523">
        <v>10074145</v>
      </c>
      <c r="B523" t="s">
        <v>15</v>
      </c>
      <c r="C523">
        <v>36</v>
      </c>
      <c r="D523">
        <v>55.972425062343007</v>
      </c>
    </row>
    <row r="524" spans="1:4" x14ac:dyDescent="0.25">
      <c r="A524">
        <v>10074145</v>
      </c>
      <c r="B524" t="s">
        <v>16</v>
      </c>
      <c r="C524">
        <v>9</v>
      </c>
      <c r="D524">
        <v>12.50737968590294</v>
      </c>
    </row>
    <row r="525" spans="1:4" x14ac:dyDescent="0.25">
      <c r="A525">
        <v>10074145</v>
      </c>
      <c r="B525" t="s">
        <v>23</v>
      </c>
      <c r="C525">
        <v>1</v>
      </c>
      <c r="D525">
        <v>4.1810142134648709</v>
      </c>
    </row>
    <row r="526" spans="1:4" x14ac:dyDescent="0.25">
      <c r="A526">
        <v>10074145</v>
      </c>
      <c r="B526" t="s">
        <v>17</v>
      </c>
      <c r="C526">
        <v>1</v>
      </c>
      <c r="D526">
        <v>5.2809789146998716</v>
      </c>
    </row>
    <row r="527" spans="1:4" x14ac:dyDescent="0.25">
      <c r="A527">
        <v>10074145</v>
      </c>
      <c r="B527" t="s">
        <v>18</v>
      </c>
      <c r="C527">
        <v>60</v>
      </c>
      <c r="D527">
        <v>66.859740270476408</v>
      </c>
    </row>
    <row r="528" spans="1:4" x14ac:dyDescent="0.25">
      <c r="A528">
        <v>10074145</v>
      </c>
      <c r="B528" t="s">
        <v>19</v>
      </c>
      <c r="C528">
        <v>62</v>
      </c>
      <c r="D528">
        <v>99.305532279480559</v>
      </c>
    </row>
    <row r="529" spans="1:4" x14ac:dyDescent="0.25">
      <c r="A529">
        <v>10074145</v>
      </c>
      <c r="B529" t="s">
        <v>20</v>
      </c>
      <c r="C529">
        <v>87</v>
      </c>
      <c r="D529">
        <v>44.856314305424569</v>
      </c>
    </row>
    <row r="530" spans="1:4" x14ac:dyDescent="0.25">
      <c r="A530">
        <v>10076349</v>
      </c>
      <c r="B530" t="s">
        <v>4</v>
      </c>
      <c r="C530">
        <v>4</v>
      </c>
      <c r="D530">
        <v>4.1122938944524048</v>
      </c>
    </row>
    <row r="531" spans="1:4" x14ac:dyDescent="0.25">
      <c r="A531">
        <v>10076349</v>
      </c>
      <c r="B531" t="s">
        <v>5</v>
      </c>
      <c r="C531">
        <v>34</v>
      </c>
      <c r="D531">
        <v>16.493293082836441</v>
      </c>
    </row>
    <row r="532" spans="1:4" x14ac:dyDescent="0.25">
      <c r="A532">
        <v>10076349</v>
      </c>
      <c r="B532" t="s">
        <v>6</v>
      </c>
      <c r="C532">
        <v>92</v>
      </c>
      <c r="D532">
        <v>52.195919175107917</v>
      </c>
    </row>
    <row r="533" spans="1:4" x14ac:dyDescent="0.25">
      <c r="A533">
        <v>10076349</v>
      </c>
      <c r="B533" t="s">
        <v>7</v>
      </c>
      <c r="C533">
        <v>93</v>
      </c>
      <c r="D533">
        <v>42.4413626359188</v>
      </c>
    </row>
    <row r="534" spans="1:4" x14ac:dyDescent="0.25">
      <c r="A534">
        <v>10076349</v>
      </c>
      <c r="B534" t="s">
        <v>8</v>
      </c>
      <c r="C534">
        <v>59</v>
      </c>
      <c r="D534">
        <v>22.332122929403141</v>
      </c>
    </row>
    <row r="535" spans="1:4" x14ac:dyDescent="0.25">
      <c r="A535">
        <v>10076349</v>
      </c>
      <c r="B535" t="s">
        <v>9</v>
      </c>
      <c r="C535">
        <v>46</v>
      </c>
      <c r="D535">
        <v>26.268319435193732</v>
      </c>
    </row>
    <row r="536" spans="1:4" x14ac:dyDescent="0.25">
      <c r="A536">
        <v>10076349</v>
      </c>
      <c r="B536" t="s">
        <v>10</v>
      </c>
      <c r="C536">
        <v>20</v>
      </c>
      <c r="D536">
        <v>10.461866580207911</v>
      </c>
    </row>
    <row r="537" spans="1:4" x14ac:dyDescent="0.25">
      <c r="A537">
        <v>10076349</v>
      </c>
      <c r="B537" t="s">
        <v>22</v>
      </c>
      <c r="C537">
        <v>1</v>
      </c>
      <c r="D537">
        <v>0.86350848137965008</v>
      </c>
    </row>
    <row r="538" spans="1:4" x14ac:dyDescent="0.25">
      <c r="A538">
        <v>10076349</v>
      </c>
      <c r="B538" t="s">
        <v>11</v>
      </c>
      <c r="C538">
        <v>7</v>
      </c>
      <c r="D538">
        <v>5.5785003391875936</v>
      </c>
    </row>
    <row r="539" spans="1:4" x14ac:dyDescent="0.25">
      <c r="A539">
        <v>10076349</v>
      </c>
      <c r="B539" t="s">
        <v>12</v>
      </c>
      <c r="C539">
        <v>40</v>
      </c>
      <c r="D539">
        <v>18.95736224906473</v>
      </c>
    </row>
    <row r="540" spans="1:4" x14ac:dyDescent="0.25">
      <c r="A540">
        <v>10076349</v>
      </c>
      <c r="B540" t="s">
        <v>13</v>
      </c>
      <c r="C540">
        <v>80</v>
      </c>
      <c r="D540">
        <v>30.55096762807041</v>
      </c>
    </row>
    <row r="541" spans="1:4" x14ac:dyDescent="0.25">
      <c r="A541">
        <v>10076349</v>
      </c>
      <c r="B541" t="s">
        <v>14</v>
      </c>
      <c r="C541">
        <v>73</v>
      </c>
      <c r="D541">
        <v>30.07402223525045</v>
      </c>
    </row>
    <row r="542" spans="1:4" x14ac:dyDescent="0.25">
      <c r="A542">
        <v>10076349</v>
      </c>
      <c r="B542" t="s">
        <v>15</v>
      </c>
      <c r="C542">
        <v>31</v>
      </c>
      <c r="D542">
        <v>14.948545213835869</v>
      </c>
    </row>
    <row r="543" spans="1:4" x14ac:dyDescent="0.25">
      <c r="A543">
        <v>10076349</v>
      </c>
      <c r="B543" t="s">
        <v>16</v>
      </c>
      <c r="C543">
        <v>7</v>
      </c>
      <c r="D543">
        <v>3.7753222416409722</v>
      </c>
    </row>
    <row r="544" spans="1:4" x14ac:dyDescent="0.25">
      <c r="A544">
        <v>10076349</v>
      </c>
      <c r="B544" t="s">
        <v>17</v>
      </c>
      <c r="C544">
        <v>2</v>
      </c>
      <c r="D544">
        <v>2.6143441874516871</v>
      </c>
    </row>
    <row r="545" spans="1:4" x14ac:dyDescent="0.25">
      <c r="A545">
        <v>10076349</v>
      </c>
      <c r="B545" t="s">
        <v>18</v>
      </c>
      <c r="C545">
        <v>65</v>
      </c>
      <c r="D545">
        <v>30.246094038913199</v>
      </c>
    </row>
    <row r="546" spans="1:4" x14ac:dyDescent="0.25">
      <c r="A546">
        <v>10076349</v>
      </c>
      <c r="B546" t="s">
        <v>19</v>
      </c>
      <c r="C546">
        <v>58</v>
      </c>
      <c r="D546">
        <v>18.35231942365731</v>
      </c>
    </row>
    <row r="547" spans="1:4" x14ac:dyDescent="0.25">
      <c r="A547">
        <v>10076349</v>
      </c>
      <c r="B547" t="s">
        <v>20</v>
      </c>
      <c r="C547">
        <v>88</v>
      </c>
      <c r="D547">
        <v>36.200312623362187</v>
      </c>
    </row>
    <row r="548" spans="1:4" x14ac:dyDescent="0.25">
      <c r="A548">
        <v>10078132</v>
      </c>
      <c r="B548" t="s">
        <v>25</v>
      </c>
      <c r="C548">
        <v>1</v>
      </c>
      <c r="D548">
        <v>0.86943763938928953</v>
      </c>
    </row>
    <row r="549" spans="1:4" x14ac:dyDescent="0.25">
      <c r="A549">
        <v>10078132</v>
      </c>
      <c r="B549" t="s">
        <v>4</v>
      </c>
      <c r="C549">
        <v>7</v>
      </c>
      <c r="D549">
        <v>3.039915663843864</v>
      </c>
    </row>
    <row r="550" spans="1:4" x14ac:dyDescent="0.25">
      <c r="A550">
        <v>10078132</v>
      </c>
      <c r="B550" t="s">
        <v>5</v>
      </c>
      <c r="C550">
        <v>32</v>
      </c>
      <c r="D550">
        <v>21.209144306808241</v>
      </c>
    </row>
    <row r="551" spans="1:4" x14ac:dyDescent="0.25">
      <c r="A551">
        <v>10078132</v>
      </c>
      <c r="B551" t="s">
        <v>6</v>
      </c>
      <c r="C551">
        <v>78</v>
      </c>
      <c r="D551">
        <v>33.449821908652012</v>
      </c>
    </row>
    <row r="552" spans="1:4" x14ac:dyDescent="0.25">
      <c r="A552">
        <v>10078132</v>
      </c>
      <c r="B552" t="s">
        <v>7</v>
      </c>
      <c r="C552">
        <v>107</v>
      </c>
      <c r="D552">
        <v>50.743800994464422</v>
      </c>
    </row>
    <row r="553" spans="1:4" x14ac:dyDescent="0.25">
      <c r="A553">
        <v>10078132</v>
      </c>
      <c r="B553" t="s">
        <v>8</v>
      </c>
      <c r="C553">
        <v>101</v>
      </c>
      <c r="D553">
        <v>50.1056341902257</v>
      </c>
    </row>
    <row r="554" spans="1:4" x14ac:dyDescent="0.25">
      <c r="A554">
        <v>10078132</v>
      </c>
      <c r="B554" t="s">
        <v>9</v>
      </c>
      <c r="C554">
        <v>66</v>
      </c>
      <c r="D554">
        <v>32.35589820225826</v>
      </c>
    </row>
    <row r="555" spans="1:4" x14ac:dyDescent="0.25">
      <c r="A555">
        <v>10078132</v>
      </c>
      <c r="B555" t="s">
        <v>10</v>
      </c>
      <c r="C555">
        <v>39</v>
      </c>
      <c r="D555">
        <v>23.41998858547343</v>
      </c>
    </row>
    <row r="556" spans="1:4" x14ac:dyDescent="0.25">
      <c r="A556">
        <v>10078132</v>
      </c>
      <c r="B556" t="s">
        <v>11</v>
      </c>
      <c r="C556">
        <v>8</v>
      </c>
      <c r="D556">
        <v>6.8330173370570648</v>
      </c>
    </row>
    <row r="557" spans="1:4" x14ac:dyDescent="0.25">
      <c r="A557">
        <v>10078132</v>
      </c>
      <c r="B557" t="s">
        <v>12</v>
      </c>
      <c r="C557">
        <v>51</v>
      </c>
      <c r="D557">
        <v>21.36453744653047</v>
      </c>
    </row>
    <row r="558" spans="1:4" x14ac:dyDescent="0.25">
      <c r="A558">
        <v>10078132</v>
      </c>
      <c r="B558" t="s">
        <v>13</v>
      </c>
      <c r="C558">
        <v>93</v>
      </c>
      <c r="D558">
        <v>31.33381756568318</v>
      </c>
    </row>
    <row r="559" spans="1:4" x14ac:dyDescent="0.25">
      <c r="A559">
        <v>10078132</v>
      </c>
      <c r="B559" t="s">
        <v>14</v>
      </c>
      <c r="C559">
        <v>93</v>
      </c>
      <c r="D559">
        <v>34.985966861486162</v>
      </c>
    </row>
    <row r="560" spans="1:4" x14ac:dyDescent="0.25">
      <c r="A560">
        <v>10078132</v>
      </c>
      <c r="B560" t="s">
        <v>15</v>
      </c>
      <c r="C560">
        <v>55</v>
      </c>
      <c r="D560">
        <v>25.287630349743779</v>
      </c>
    </row>
    <row r="561" spans="1:4" x14ac:dyDescent="0.25">
      <c r="A561">
        <v>10078132</v>
      </c>
      <c r="B561" t="s">
        <v>16</v>
      </c>
      <c r="C561">
        <v>4</v>
      </c>
      <c r="D561">
        <v>4.2894392485800621</v>
      </c>
    </row>
    <row r="562" spans="1:4" x14ac:dyDescent="0.25">
      <c r="A562">
        <v>10078132</v>
      </c>
      <c r="B562" t="s">
        <v>17</v>
      </c>
      <c r="C562">
        <v>1</v>
      </c>
      <c r="D562">
        <v>1.444593506049191</v>
      </c>
    </row>
    <row r="563" spans="1:4" x14ac:dyDescent="0.25">
      <c r="A563">
        <v>10078132</v>
      </c>
      <c r="B563" t="s">
        <v>18</v>
      </c>
      <c r="C563">
        <v>65</v>
      </c>
      <c r="D563">
        <v>21.877413417819469</v>
      </c>
    </row>
    <row r="564" spans="1:4" x14ac:dyDescent="0.25">
      <c r="A564">
        <v>10078132</v>
      </c>
      <c r="B564" t="s">
        <v>19</v>
      </c>
      <c r="C564">
        <v>76</v>
      </c>
      <c r="D564">
        <v>22.578539624223229</v>
      </c>
    </row>
    <row r="565" spans="1:4" x14ac:dyDescent="0.25">
      <c r="A565">
        <v>10078132</v>
      </c>
      <c r="B565" t="s">
        <v>20</v>
      </c>
      <c r="C565">
        <v>80</v>
      </c>
      <c r="D565">
        <v>40.019422049008341</v>
      </c>
    </row>
    <row r="566" spans="1:4" x14ac:dyDescent="0.25">
      <c r="A566">
        <v>10079995</v>
      </c>
      <c r="B566" t="s">
        <v>4</v>
      </c>
      <c r="C566">
        <v>1</v>
      </c>
      <c r="D566">
        <v>2.7169803439986091</v>
      </c>
    </row>
    <row r="567" spans="1:4" x14ac:dyDescent="0.25">
      <c r="A567">
        <v>10079995</v>
      </c>
      <c r="B567" t="s">
        <v>5</v>
      </c>
      <c r="C567">
        <v>45</v>
      </c>
      <c r="D567">
        <v>25.613052282970191</v>
      </c>
    </row>
    <row r="568" spans="1:4" x14ac:dyDescent="0.25">
      <c r="A568">
        <v>10079995</v>
      </c>
      <c r="B568" t="s">
        <v>6</v>
      </c>
      <c r="C568">
        <v>74</v>
      </c>
      <c r="D568">
        <v>43.046629066102071</v>
      </c>
    </row>
    <row r="569" spans="1:4" x14ac:dyDescent="0.25">
      <c r="A569">
        <v>10079995</v>
      </c>
      <c r="B569" t="s">
        <v>7</v>
      </c>
      <c r="C569">
        <v>103</v>
      </c>
      <c r="D569">
        <v>56.324005072580448</v>
      </c>
    </row>
    <row r="570" spans="1:4" x14ac:dyDescent="0.25">
      <c r="A570">
        <v>10079995</v>
      </c>
      <c r="B570" t="s">
        <v>8</v>
      </c>
      <c r="C570">
        <v>70</v>
      </c>
      <c r="D570">
        <v>53.625244918392617</v>
      </c>
    </row>
    <row r="571" spans="1:4" x14ac:dyDescent="0.25">
      <c r="A571">
        <v>10079995</v>
      </c>
      <c r="B571" t="s">
        <v>9</v>
      </c>
      <c r="C571">
        <v>40</v>
      </c>
      <c r="D571">
        <v>31.648134142667139</v>
      </c>
    </row>
    <row r="572" spans="1:4" x14ac:dyDescent="0.25">
      <c r="A572">
        <v>10079995</v>
      </c>
      <c r="B572" t="s">
        <v>10</v>
      </c>
      <c r="C572">
        <v>21</v>
      </c>
      <c r="D572">
        <v>13.87941029240331</v>
      </c>
    </row>
    <row r="573" spans="1:4" x14ac:dyDescent="0.25">
      <c r="A573">
        <v>10079995</v>
      </c>
      <c r="B573" t="s">
        <v>11</v>
      </c>
      <c r="C573">
        <v>6</v>
      </c>
      <c r="D573">
        <v>5.5063878154286936</v>
      </c>
    </row>
    <row r="574" spans="1:4" x14ac:dyDescent="0.25">
      <c r="A574">
        <v>10079995</v>
      </c>
      <c r="B574" t="s">
        <v>12</v>
      </c>
      <c r="C574">
        <v>42</v>
      </c>
      <c r="D574">
        <v>28.713193922931211</v>
      </c>
    </row>
    <row r="575" spans="1:4" x14ac:dyDescent="0.25">
      <c r="A575">
        <v>10079995</v>
      </c>
      <c r="B575" t="s">
        <v>13</v>
      </c>
      <c r="C575">
        <v>67</v>
      </c>
      <c r="D575">
        <v>42.618058879297941</v>
      </c>
    </row>
    <row r="576" spans="1:4" x14ac:dyDescent="0.25">
      <c r="A576">
        <v>10079995</v>
      </c>
      <c r="B576" t="s">
        <v>14</v>
      </c>
      <c r="C576">
        <v>88</v>
      </c>
      <c r="D576">
        <v>54.089898978943161</v>
      </c>
    </row>
    <row r="577" spans="1:4" x14ac:dyDescent="0.25">
      <c r="A577">
        <v>10079995</v>
      </c>
      <c r="B577" t="s">
        <v>15</v>
      </c>
      <c r="C577">
        <v>35</v>
      </c>
      <c r="D577">
        <v>24.33226235705401</v>
      </c>
    </row>
    <row r="578" spans="1:4" x14ac:dyDescent="0.25">
      <c r="A578">
        <v>10079995</v>
      </c>
      <c r="B578" t="s">
        <v>16</v>
      </c>
      <c r="C578">
        <v>7</v>
      </c>
      <c r="D578">
        <v>7.0975155151314873</v>
      </c>
    </row>
    <row r="579" spans="1:4" x14ac:dyDescent="0.25">
      <c r="A579">
        <v>10079995</v>
      </c>
      <c r="B579" t="s">
        <v>17</v>
      </c>
      <c r="C579">
        <v>4</v>
      </c>
      <c r="D579">
        <v>4.3657312465354572</v>
      </c>
    </row>
    <row r="580" spans="1:4" x14ac:dyDescent="0.25">
      <c r="A580">
        <v>10079995</v>
      </c>
      <c r="B580" t="s">
        <v>18</v>
      </c>
      <c r="C580">
        <v>58</v>
      </c>
      <c r="D580">
        <v>31.107656356135859</v>
      </c>
    </row>
    <row r="581" spans="1:4" x14ac:dyDescent="0.25">
      <c r="A581">
        <v>10079995</v>
      </c>
      <c r="B581" t="s">
        <v>19</v>
      </c>
      <c r="C581">
        <v>64</v>
      </c>
      <c r="D581">
        <v>51.66183700922484</v>
      </c>
    </row>
    <row r="582" spans="1:4" x14ac:dyDescent="0.25">
      <c r="A582">
        <v>10079995</v>
      </c>
      <c r="B582" t="s">
        <v>20</v>
      </c>
      <c r="C582">
        <v>60</v>
      </c>
      <c r="D582">
        <v>25.83620714563267</v>
      </c>
    </row>
    <row r="583" spans="1:4" x14ac:dyDescent="0.25">
      <c r="A583">
        <v>10080481</v>
      </c>
      <c r="B583" t="s">
        <v>4</v>
      </c>
      <c r="C583">
        <v>2</v>
      </c>
      <c r="D583">
        <v>3.2274913070811011</v>
      </c>
    </row>
    <row r="584" spans="1:4" x14ac:dyDescent="0.25">
      <c r="A584">
        <v>10080481</v>
      </c>
      <c r="B584" t="s">
        <v>5</v>
      </c>
      <c r="C584">
        <v>25</v>
      </c>
      <c r="D584">
        <v>16.3062746677276</v>
      </c>
    </row>
    <row r="585" spans="1:4" x14ac:dyDescent="0.25">
      <c r="A585">
        <v>10080481</v>
      </c>
      <c r="B585" t="s">
        <v>6</v>
      </c>
      <c r="C585">
        <v>37</v>
      </c>
      <c r="D585">
        <v>17.47449492222016</v>
      </c>
    </row>
    <row r="586" spans="1:4" x14ac:dyDescent="0.25">
      <c r="A586">
        <v>10080481</v>
      </c>
      <c r="B586" t="s">
        <v>7</v>
      </c>
      <c r="C586">
        <v>61</v>
      </c>
      <c r="D586">
        <v>25.102402134086109</v>
      </c>
    </row>
    <row r="587" spans="1:4" x14ac:dyDescent="0.25">
      <c r="A587">
        <v>10080481</v>
      </c>
      <c r="B587" t="s">
        <v>8</v>
      </c>
      <c r="C587">
        <v>40</v>
      </c>
      <c r="D587">
        <v>30.597354235063499</v>
      </c>
    </row>
    <row r="588" spans="1:4" x14ac:dyDescent="0.25">
      <c r="A588">
        <v>10080481</v>
      </c>
      <c r="B588" t="s">
        <v>9</v>
      </c>
      <c r="C588">
        <v>46</v>
      </c>
      <c r="D588">
        <v>35.634300076335549</v>
      </c>
    </row>
    <row r="589" spans="1:4" x14ac:dyDescent="0.25">
      <c r="A589">
        <v>10080481</v>
      </c>
      <c r="B589" t="s">
        <v>10</v>
      </c>
      <c r="C589">
        <v>19</v>
      </c>
      <c r="D589">
        <v>13.974206546182209</v>
      </c>
    </row>
    <row r="590" spans="1:4" x14ac:dyDescent="0.25">
      <c r="A590">
        <v>10080481</v>
      </c>
      <c r="B590" t="s">
        <v>11</v>
      </c>
      <c r="C590">
        <v>4</v>
      </c>
      <c r="D590">
        <v>5.200840622563125</v>
      </c>
    </row>
    <row r="591" spans="1:4" x14ac:dyDescent="0.25">
      <c r="A591">
        <v>10080481</v>
      </c>
      <c r="B591" t="s">
        <v>12</v>
      </c>
      <c r="C591">
        <v>41</v>
      </c>
      <c r="D591">
        <v>37.420691664835807</v>
      </c>
    </row>
    <row r="592" spans="1:4" x14ac:dyDescent="0.25">
      <c r="A592">
        <v>10080481</v>
      </c>
      <c r="B592" t="s">
        <v>13</v>
      </c>
      <c r="C592">
        <v>55</v>
      </c>
      <c r="D592">
        <v>31.42914363857048</v>
      </c>
    </row>
    <row r="593" spans="1:4" x14ac:dyDescent="0.25">
      <c r="A593">
        <v>10080481</v>
      </c>
      <c r="B593" t="s">
        <v>14</v>
      </c>
      <c r="C593">
        <v>73</v>
      </c>
      <c r="D593">
        <v>53.738086507027433</v>
      </c>
    </row>
    <row r="594" spans="1:4" x14ac:dyDescent="0.25">
      <c r="A594">
        <v>10080481</v>
      </c>
      <c r="B594" t="s">
        <v>15</v>
      </c>
      <c r="C594">
        <v>24</v>
      </c>
      <c r="D594">
        <v>19.522064001158402</v>
      </c>
    </row>
    <row r="595" spans="1:4" x14ac:dyDescent="0.25">
      <c r="A595">
        <v>10080481</v>
      </c>
      <c r="B595" t="s">
        <v>16</v>
      </c>
      <c r="C595">
        <v>2</v>
      </c>
      <c r="D595">
        <v>3.66570743012075</v>
      </c>
    </row>
    <row r="596" spans="1:4" x14ac:dyDescent="0.25">
      <c r="A596">
        <v>10080481</v>
      </c>
      <c r="B596" t="s">
        <v>17</v>
      </c>
      <c r="C596">
        <v>1</v>
      </c>
      <c r="D596">
        <v>3.024329283342766</v>
      </c>
    </row>
    <row r="597" spans="1:4" x14ac:dyDescent="0.25">
      <c r="A597">
        <v>10080481</v>
      </c>
      <c r="B597" t="s">
        <v>18</v>
      </c>
      <c r="C597">
        <v>48</v>
      </c>
      <c r="D597">
        <v>37.08762331822232</v>
      </c>
    </row>
    <row r="598" spans="1:4" x14ac:dyDescent="0.25">
      <c r="A598">
        <v>10080481</v>
      </c>
      <c r="B598" t="s">
        <v>19</v>
      </c>
      <c r="C598">
        <v>58</v>
      </c>
      <c r="D598">
        <v>41.371665787002748</v>
      </c>
    </row>
    <row r="599" spans="1:4" x14ac:dyDescent="0.25">
      <c r="A599">
        <v>10080481</v>
      </c>
      <c r="B599" t="s">
        <v>20</v>
      </c>
      <c r="C599">
        <v>67</v>
      </c>
      <c r="D599">
        <v>40.257092819678782</v>
      </c>
    </row>
    <row r="600" spans="1:4" x14ac:dyDescent="0.25">
      <c r="A600">
        <v>10080492</v>
      </c>
      <c r="B600" t="s">
        <v>5</v>
      </c>
      <c r="C600">
        <v>18</v>
      </c>
      <c r="D600">
        <v>12.554663066511759</v>
      </c>
    </row>
    <row r="601" spans="1:4" x14ac:dyDescent="0.25">
      <c r="A601">
        <v>10080492</v>
      </c>
      <c r="B601" t="s">
        <v>6</v>
      </c>
      <c r="C601">
        <v>44</v>
      </c>
      <c r="D601">
        <v>35.672743015560989</v>
      </c>
    </row>
    <row r="602" spans="1:4" x14ac:dyDescent="0.25">
      <c r="A602">
        <v>10080492</v>
      </c>
      <c r="B602" t="s">
        <v>7</v>
      </c>
      <c r="C602">
        <v>47</v>
      </c>
      <c r="D602">
        <v>41.7077946984571</v>
      </c>
    </row>
    <row r="603" spans="1:4" x14ac:dyDescent="0.25">
      <c r="A603">
        <v>10080492</v>
      </c>
      <c r="B603" t="s">
        <v>8</v>
      </c>
      <c r="C603">
        <v>74</v>
      </c>
      <c r="D603">
        <v>61.942440956861716</v>
      </c>
    </row>
    <row r="604" spans="1:4" x14ac:dyDescent="0.25">
      <c r="A604">
        <v>10080492</v>
      </c>
      <c r="B604" t="s">
        <v>9</v>
      </c>
      <c r="C604">
        <v>41</v>
      </c>
      <c r="D604">
        <v>31.1016859551466</v>
      </c>
    </row>
    <row r="605" spans="1:4" x14ac:dyDescent="0.25">
      <c r="A605">
        <v>10080492</v>
      </c>
      <c r="B605" t="s">
        <v>10</v>
      </c>
      <c r="C605">
        <v>14</v>
      </c>
      <c r="D605">
        <v>16.366987741273402</v>
      </c>
    </row>
    <row r="606" spans="1:4" x14ac:dyDescent="0.25">
      <c r="A606">
        <v>10080492</v>
      </c>
      <c r="B606" t="s">
        <v>11</v>
      </c>
      <c r="C606">
        <v>7</v>
      </c>
      <c r="D606">
        <v>9.0941122299423256</v>
      </c>
    </row>
    <row r="607" spans="1:4" x14ac:dyDescent="0.25">
      <c r="A607">
        <v>10080492</v>
      </c>
      <c r="B607" t="s">
        <v>12</v>
      </c>
      <c r="C607">
        <v>38</v>
      </c>
      <c r="D607">
        <v>31.109444389312241</v>
      </c>
    </row>
    <row r="608" spans="1:4" x14ac:dyDescent="0.25">
      <c r="A608">
        <v>10080492</v>
      </c>
      <c r="B608" t="s">
        <v>13</v>
      </c>
      <c r="C608">
        <v>59</v>
      </c>
      <c r="D608">
        <v>46.107264141781577</v>
      </c>
    </row>
    <row r="609" spans="1:4" x14ac:dyDescent="0.25">
      <c r="A609">
        <v>10080492</v>
      </c>
      <c r="B609" t="s">
        <v>14</v>
      </c>
      <c r="C609">
        <v>69</v>
      </c>
      <c r="D609">
        <v>81.959432855473437</v>
      </c>
    </row>
    <row r="610" spans="1:4" x14ac:dyDescent="0.25">
      <c r="A610">
        <v>10080492</v>
      </c>
      <c r="B610" t="s">
        <v>15</v>
      </c>
      <c r="C610">
        <v>25</v>
      </c>
      <c r="D610">
        <v>20.650904258756992</v>
      </c>
    </row>
    <row r="611" spans="1:4" x14ac:dyDescent="0.25">
      <c r="A611">
        <v>10080492</v>
      </c>
      <c r="B611" t="s">
        <v>16</v>
      </c>
      <c r="C611">
        <v>6</v>
      </c>
      <c r="D611">
        <v>5.6118645444038746</v>
      </c>
    </row>
    <row r="612" spans="1:4" x14ac:dyDescent="0.25">
      <c r="A612">
        <v>10080492</v>
      </c>
      <c r="B612" t="s">
        <v>17</v>
      </c>
      <c r="C612">
        <v>4</v>
      </c>
      <c r="D612">
        <v>9.2112381722085672</v>
      </c>
    </row>
    <row r="613" spans="1:4" x14ac:dyDescent="0.25">
      <c r="A613">
        <v>10080492</v>
      </c>
      <c r="B613" t="s">
        <v>18</v>
      </c>
      <c r="C613">
        <v>63</v>
      </c>
      <c r="D613">
        <v>79.160938454659941</v>
      </c>
    </row>
    <row r="614" spans="1:4" x14ac:dyDescent="0.25">
      <c r="A614">
        <v>10080492</v>
      </c>
      <c r="B614" t="s">
        <v>19</v>
      </c>
      <c r="C614">
        <v>67</v>
      </c>
      <c r="D614">
        <v>105.0183655199415</v>
      </c>
    </row>
    <row r="615" spans="1:4" x14ac:dyDescent="0.25">
      <c r="A615">
        <v>10080492</v>
      </c>
      <c r="B615" t="s">
        <v>20</v>
      </c>
      <c r="C615">
        <v>68</v>
      </c>
      <c r="D615">
        <v>90.15734417292947</v>
      </c>
    </row>
    <row r="616" spans="1:4" x14ac:dyDescent="0.25">
      <c r="A616">
        <v>10080526</v>
      </c>
      <c r="B616" t="s">
        <v>5</v>
      </c>
      <c r="C616">
        <v>11</v>
      </c>
      <c r="D616">
        <v>9.4306524438510504</v>
      </c>
    </row>
    <row r="617" spans="1:4" x14ac:dyDescent="0.25">
      <c r="A617">
        <v>10080526</v>
      </c>
      <c r="B617" t="s">
        <v>7</v>
      </c>
      <c r="C617">
        <v>26</v>
      </c>
      <c r="D617">
        <v>12.011158124017321</v>
      </c>
    </row>
    <row r="618" spans="1:4" x14ac:dyDescent="0.25">
      <c r="A618">
        <v>10080526</v>
      </c>
      <c r="B618" t="s">
        <v>8</v>
      </c>
      <c r="C618">
        <v>35</v>
      </c>
      <c r="D618">
        <v>17.327094324329089</v>
      </c>
    </row>
    <row r="619" spans="1:4" x14ac:dyDescent="0.25">
      <c r="A619">
        <v>10080526</v>
      </c>
      <c r="B619" t="s">
        <v>9</v>
      </c>
      <c r="C619">
        <v>12</v>
      </c>
      <c r="D619">
        <v>5.5566051924494992</v>
      </c>
    </row>
    <row r="620" spans="1:4" x14ac:dyDescent="0.25">
      <c r="A620">
        <v>10080526</v>
      </c>
      <c r="B620" t="s">
        <v>10</v>
      </c>
      <c r="C620">
        <v>10</v>
      </c>
      <c r="D620">
        <v>5.4610749528547569</v>
      </c>
    </row>
    <row r="621" spans="1:4" x14ac:dyDescent="0.25">
      <c r="A621">
        <v>10080526</v>
      </c>
      <c r="B621" t="s">
        <v>26</v>
      </c>
      <c r="C621">
        <v>1</v>
      </c>
      <c r="D621">
        <v>2.6539806782346749</v>
      </c>
    </row>
    <row r="622" spans="1:4" x14ac:dyDescent="0.25">
      <c r="A622">
        <v>10080526</v>
      </c>
      <c r="B622" t="s">
        <v>11</v>
      </c>
      <c r="C622">
        <v>1</v>
      </c>
      <c r="D622">
        <v>3.0231122735888469</v>
      </c>
    </row>
    <row r="623" spans="1:4" x14ac:dyDescent="0.25">
      <c r="A623">
        <v>10080596</v>
      </c>
      <c r="B623" t="s">
        <v>8</v>
      </c>
      <c r="C623">
        <v>52</v>
      </c>
      <c r="D623">
        <v>20.397181381322241</v>
      </c>
    </row>
    <row r="624" spans="1:4" x14ac:dyDescent="0.25">
      <c r="A624">
        <v>10080596</v>
      </c>
      <c r="B624" t="s">
        <v>9</v>
      </c>
      <c r="C624">
        <v>26</v>
      </c>
      <c r="D624">
        <v>17.02614449630671</v>
      </c>
    </row>
    <row r="625" spans="1:4" x14ac:dyDescent="0.25">
      <c r="A625">
        <v>10080596</v>
      </c>
      <c r="B625" t="s">
        <v>10</v>
      </c>
      <c r="C625">
        <v>19</v>
      </c>
      <c r="D625">
        <v>14.17270615309983</v>
      </c>
    </row>
    <row r="626" spans="1:4" x14ac:dyDescent="0.25">
      <c r="A626">
        <v>10080596</v>
      </c>
      <c r="B626" t="s">
        <v>11</v>
      </c>
      <c r="C626">
        <v>4</v>
      </c>
      <c r="D626">
        <v>5.6069533186848526</v>
      </c>
    </row>
    <row r="627" spans="1:4" x14ac:dyDescent="0.25">
      <c r="A627">
        <v>10080596</v>
      </c>
      <c r="B627" t="s">
        <v>12</v>
      </c>
      <c r="C627">
        <v>20</v>
      </c>
      <c r="D627">
        <v>13.882317150697681</v>
      </c>
    </row>
    <row r="628" spans="1:4" x14ac:dyDescent="0.25">
      <c r="A628">
        <v>10080596</v>
      </c>
      <c r="B628" t="s">
        <v>13</v>
      </c>
      <c r="C628">
        <v>56</v>
      </c>
      <c r="D628">
        <v>30.825674262907039</v>
      </c>
    </row>
    <row r="629" spans="1:4" x14ac:dyDescent="0.25">
      <c r="A629">
        <v>10080596</v>
      </c>
      <c r="B629" t="s">
        <v>14</v>
      </c>
      <c r="C629">
        <v>75</v>
      </c>
      <c r="D629">
        <v>52.49933098184372</v>
      </c>
    </row>
    <row r="630" spans="1:4" x14ac:dyDescent="0.25">
      <c r="A630">
        <v>10080596</v>
      </c>
      <c r="B630" t="s">
        <v>16</v>
      </c>
      <c r="C630">
        <v>6</v>
      </c>
      <c r="D630">
        <v>3.7426609835903379</v>
      </c>
    </row>
    <row r="631" spans="1:4" x14ac:dyDescent="0.25">
      <c r="A631">
        <v>10080596</v>
      </c>
      <c r="B631" t="s">
        <v>17</v>
      </c>
      <c r="C631">
        <v>2</v>
      </c>
      <c r="D631">
        <v>2.913032228041641</v>
      </c>
    </row>
    <row r="632" spans="1:4" x14ac:dyDescent="0.25">
      <c r="A632">
        <v>10080596</v>
      </c>
      <c r="B632" t="s">
        <v>18</v>
      </c>
      <c r="C632">
        <v>52</v>
      </c>
      <c r="D632">
        <v>42.046659025857053</v>
      </c>
    </row>
    <row r="633" spans="1:4" x14ac:dyDescent="0.25">
      <c r="A633">
        <v>10080596</v>
      </c>
      <c r="B633" t="s">
        <v>19</v>
      </c>
      <c r="C633">
        <v>51</v>
      </c>
      <c r="D633">
        <v>37.425969788791647</v>
      </c>
    </row>
    <row r="634" spans="1:4" x14ac:dyDescent="0.25">
      <c r="A634">
        <v>10080596</v>
      </c>
      <c r="B634" t="s">
        <v>20</v>
      </c>
      <c r="C634">
        <v>51</v>
      </c>
      <c r="D634">
        <v>42.707402943243352</v>
      </c>
    </row>
    <row r="635" spans="1:4" x14ac:dyDescent="0.25">
      <c r="A635">
        <v>10080624</v>
      </c>
      <c r="B635" t="s">
        <v>10</v>
      </c>
      <c r="C635">
        <v>6</v>
      </c>
      <c r="D635">
        <v>2.3797257312762761</v>
      </c>
    </row>
    <row r="636" spans="1:4" x14ac:dyDescent="0.25">
      <c r="A636">
        <v>10080624</v>
      </c>
      <c r="B636" t="s">
        <v>11</v>
      </c>
      <c r="C636">
        <v>3</v>
      </c>
      <c r="D636">
        <v>1.6795202144573591</v>
      </c>
    </row>
    <row r="637" spans="1:4" x14ac:dyDescent="0.25">
      <c r="A637">
        <v>10080624</v>
      </c>
      <c r="B637" t="s">
        <v>12</v>
      </c>
      <c r="C637">
        <v>39</v>
      </c>
      <c r="D637">
        <v>34.043790146351057</v>
      </c>
    </row>
    <row r="638" spans="1:4" x14ac:dyDescent="0.25">
      <c r="A638">
        <v>10080624</v>
      </c>
      <c r="B638" t="s">
        <v>13</v>
      </c>
      <c r="C638">
        <v>41</v>
      </c>
      <c r="D638">
        <v>13.99913941381805</v>
      </c>
    </row>
    <row r="639" spans="1:4" x14ac:dyDescent="0.25">
      <c r="A639">
        <v>10080624</v>
      </c>
      <c r="B639" t="s">
        <v>14</v>
      </c>
      <c r="C639">
        <v>47</v>
      </c>
      <c r="D639">
        <v>18.381076778735071</v>
      </c>
    </row>
    <row r="640" spans="1:4" x14ac:dyDescent="0.25">
      <c r="A640">
        <v>10080624</v>
      </c>
      <c r="B640" t="s">
        <v>15</v>
      </c>
      <c r="C640">
        <v>17</v>
      </c>
      <c r="D640">
        <v>5.5554631534623606</v>
      </c>
    </row>
    <row r="641" spans="1:4" x14ac:dyDescent="0.25">
      <c r="A641">
        <v>10080624</v>
      </c>
      <c r="B641" t="s">
        <v>16</v>
      </c>
      <c r="C641">
        <v>7</v>
      </c>
      <c r="D641">
        <v>2.4272188162041219</v>
      </c>
    </row>
    <row r="642" spans="1:4" x14ac:dyDescent="0.25">
      <c r="A642">
        <v>10080747</v>
      </c>
      <c r="B642" t="s">
        <v>13</v>
      </c>
      <c r="C642">
        <v>28</v>
      </c>
      <c r="D642">
        <v>13.61120888833336</v>
      </c>
    </row>
    <row r="643" spans="1:4" x14ac:dyDescent="0.25">
      <c r="A643">
        <v>10080747</v>
      </c>
      <c r="B643" t="s">
        <v>14</v>
      </c>
      <c r="C643">
        <v>39</v>
      </c>
      <c r="D643">
        <v>22.637414960253398</v>
      </c>
    </row>
    <row r="644" spans="1:4" x14ac:dyDescent="0.25">
      <c r="A644">
        <v>10080747</v>
      </c>
      <c r="B644" t="s">
        <v>15</v>
      </c>
      <c r="C644">
        <v>22</v>
      </c>
      <c r="D644">
        <v>12.177215023618301</v>
      </c>
    </row>
    <row r="645" spans="1:4" x14ac:dyDescent="0.25">
      <c r="A645">
        <v>10080747</v>
      </c>
      <c r="B645" t="s">
        <v>16</v>
      </c>
      <c r="C645">
        <v>8</v>
      </c>
      <c r="D645">
        <v>4.7712682951481149</v>
      </c>
    </row>
    <row r="646" spans="1:4" x14ac:dyDescent="0.25">
      <c r="A646">
        <v>10080747</v>
      </c>
      <c r="B646" t="s">
        <v>18</v>
      </c>
      <c r="C646">
        <v>30</v>
      </c>
      <c r="D646">
        <v>12.275626516127369</v>
      </c>
    </row>
    <row r="647" spans="1:4" x14ac:dyDescent="0.25">
      <c r="A647">
        <v>10080747</v>
      </c>
      <c r="B647" t="s">
        <v>19</v>
      </c>
      <c r="C647">
        <v>63</v>
      </c>
      <c r="D647">
        <v>31.007501535726679</v>
      </c>
    </row>
    <row r="648" spans="1:4" x14ac:dyDescent="0.25">
      <c r="A648">
        <v>10080747</v>
      </c>
      <c r="B648" t="s">
        <v>20</v>
      </c>
      <c r="C648">
        <v>62</v>
      </c>
      <c r="D648">
        <v>30.887688883088689</v>
      </c>
    </row>
  </sheetData>
  <autoFilter ref="A1:D648" xr:uid="{66C4AC6B-552E-471F-9EAB-C16AFC0135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BC97-83BF-473C-9ED6-9E9D09C223F1}">
  <dimension ref="A3:G45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23.42578125" bestFit="1" customWidth="1"/>
    <col min="4" max="4" width="24.28515625" bestFit="1" customWidth="1"/>
    <col min="6" max="6" width="22.42578125" bestFit="1" customWidth="1"/>
  </cols>
  <sheetData>
    <row r="3" spans="1:7" x14ac:dyDescent="0.25">
      <c r="A3" s="2" t="s">
        <v>27</v>
      </c>
      <c r="B3" t="s">
        <v>31</v>
      </c>
      <c r="C3" t="s">
        <v>29</v>
      </c>
      <c r="D3" t="s">
        <v>30</v>
      </c>
    </row>
    <row r="4" spans="1:7" x14ac:dyDescent="0.25">
      <c r="A4" s="3">
        <v>10074145</v>
      </c>
      <c r="B4" s="4">
        <v>19</v>
      </c>
      <c r="C4" s="4">
        <v>824</v>
      </c>
      <c r="D4" s="4">
        <v>1138.5311440688481</v>
      </c>
      <c r="F4" t="s">
        <v>32</v>
      </c>
      <c r="G4">
        <f>AVERAGE(D4:D44)</f>
        <v>463.02053115896717</v>
      </c>
    </row>
    <row r="5" spans="1:7" x14ac:dyDescent="0.25">
      <c r="A5" s="3">
        <v>10053112</v>
      </c>
      <c r="B5" s="4">
        <v>16</v>
      </c>
      <c r="C5" s="4">
        <v>944</v>
      </c>
      <c r="D5" s="4">
        <v>830.89388482273898</v>
      </c>
    </row>
    <row r="6" spans="1:7" x14ac:dyDescent="0.25">
      <c r="A6" s="3">
        <v>10035125</v>
      </c>
      <c r="B6" s="4">
        <v>17</v>
      </c>
      <c r="C6" s="4">
        <v>1078</v>
      </c>
      <c r="D6" s="4">
        <v>685.17578694000531</v>
      </c>
    </row>
    <row r="7" spans="1:7" x14ac:dyDescent="0.25">
      <c r="A7" s="3">
        <v>10080492</v>
      </c>
      <c r="B7" s="4">
        <v>16</v>
      </c>
      <c r="C7" s="4">
        <v>644</v>
      </c>
      <c r="D7" s="4">
        <v>677.42722417322159</v>
      </c>
    </row>
    <row r="8" spans="1:7" x14ac:dyDescent="0.25">
      <c r="A8" s="3">
        <v>10014010</v>
      </c>
      <c r="B8" s="4">
        <v>17</v>
      </c>
      <c r="C8" s="4">
        <v>965</v>
      </c>
      <c r="D8" s="4">
        <v>674.74857312562904</v>
      </c>
    </row>
    <row r="9" spans="1:7" x14ac:dyDescent="0.25">
      <c r="A9" s="3">
        <v>10055658</v>
      </c>
      <c r="B9" s="4">
        <v>17</v>
      </c>
      <c r="C9" s="4">
        <v>1087</v>
      </c>
      <c r="D9" s="4">
        <v>579.88402414992947</v>
      </c>
    </row>
    <row r="10" spans="1:7" x14ac:dyDescent="0.25">
      <c r="A10" s="3">
        <v>10047909</v>
      </c>
      <c r="B10" s="4">
        <v>16</v>
      </c>
      <c r="C10" s="4">
        <v>874</v>
      </c>
      <c r="D10" s="4">
        <v>577.06195207205838</v>
      </c>
    </row>
    <row r="11" spans="1:7" x14ac:dyDescent="0.25">
      <c r="A11" s="3">
        <v>10003936</v>
      </c>
      <c r="B11" s="4">
        <v>17</v>
      </c>
      <c r="C11" s="4">
        <v>1058</v>
      </c>
      <c r="D11" s="4">
        <v>548.77185908791364</v>
      </c>
    </row>
    <row r="12" spans="1:7" x14ac:dyDescent="0.25">
      <c r="A12" s="3">
        <v>10025537</v>
      </c>
      <c r="B12" s="4">
        <v>17</v>
      </c>
      <c r="C12" s="4">
        <v>964</v>
      </c>
      <c r="D12" s="4">
        <v>533.39929235040756</v>
      </c>
    </row>
    <row r="13" spans="1:7" x14ac:dyDescent="0.25">
      <c r="A13" s="3">
        <v>10062125</v>
      </c>
      <c r="B13" s="4">
        <v>18</v>
      </c>
      <c r="C13" s="4">
        <v>1215</v>
      </c>
      <c r="D13" s="4">
        <v>532.44432505522786</v>
      </c>
    </row>
    <row r="14" spans="1:7" x14ac:dyDescent="0.25">
      <c r="A14" s="3">
        <v>10068449</v>
      </c>
      <c r="B14" s="4">
        <v>17</v>
      </c>
      <c r="C14" s="4">
        <v>1097</v>
      </c>
      <c r="D14" s="4">
        <v>527.98415406592778</v>
      </c>
    </row>
    <row r="15" spans="1:7" x14ac:dyDescent="0.25">
      <c r="A15" s="3">
        <v>10031845</v>
      </c>
      <c r="B15" s="4">
        <v>15</v>
      </c>
      <c r="C15" s="4">
        <v>818</v>
      </c>
      <c r="D15" s="4">
        <v>517.27020254185572</v>
      </c>
    </row>
    <row r="16" spans="1:7" x14ac:dyDescent="0.25">
      <c r="A16" s="3">
        <v>10038027</v>
      </c>
      <c r="B16" s="4">
        <v>16</v>
      </c>
      <c r="C16" s="4">
        <v>1075</v>
      </c>
      <c r="D16" s="4">
        <v>513.38591052848267</v>
      </c>
    </row>
    <row r="17" spans="1:4" x14ac:dyDescent="0.25">
      <c r="A17" s="3">
        <v>10024737</v>
      </c>
      <c r="B17" s="4">
        <v>17</v>
      </c>
      <c r="C17" s="4">
        <v>973</v>
      </c>
      <c r="D17" s="4">
        <v>507.78080929216867</v>
      </c>
    </row>
    <row r="18" spans="1:4" x14ac:dyDescent="0.25">
      <c r="A18" s="3">
        <v>10024880</v>
      </c>
      <c r="B18" s="4">
        <v>16</v>
      </c>
      <c r="C18" s="4">
        <v>1054</v>
      </c>
      <c r="D18" s="4">
        <v>503.5859470233342</v>
      </c>
    </row>
    <row r="19" spans="1:4" x14ac:dyDescent="0.25">
      <c r="A19" s="3">
        <v>10079995</v>
      </c>
      <c r="B19" s="4">
        <v>17</v>
      </c>
      <c r="C19" s="4">
        <v>785</v>
      </c>
      <c r="D19" s="4">
        <v>502.18220534542974</v>
      </c>
    </row>
    <row r="20" spans="1:4" x14ac:dyDescent="0.25">
      <c r="A20" s="3">
        <v>10046795</v>
      </c>
      <c r="B20" s="4">
        <v>17</v>
      </c>
      <c r="C20" s="4">
        <v>991</v>
      </c>
      <c r="D20" s="4">
        <v>477.57049284952905</v>
      </c>
    </row>
    <row r="21" spans="1:4" x14ac:dyDescent="0.25">
      <c r="A21" s="3">
        <v>10064690</v>
      </c>
      <c r="B21" s="4">
        <v>18</v>
      </c>
      <c r="C21" s="4">
        <v>737</v>
      </c>
      <c r="D21" s="4">
        <v>476.64115217340657</v>
      </c>
    </row>
    <row r="22" spans="1:4" x14ac:dyDescent="0.25">
      <c r="A22" s="3">
        <v>10014704</v>
      </c>
      <c r="B22" s="4">
        <v>16</v>
      </c>
      <c r="C22" s="4">
        <v>929</v>
      </c>
      <c r="D22" s="4">
        <v>471.12254618230116</v>
      </c>
    </row>
    <row r="23" spans="1:4" x14ac:dyDescent="0.25">
      <c r="A23" s="3">
        <v>10001245</v>
      </c>
      <c r="B23" s="4">
        <v>17</v>
      </c>
      <c r="C23" s="4">
        <v>863</v>
      </c>
      <c r="D23" s="4">
        <v>467.60127816058917</v>
      </c>
    </row>
    <row r="24" spans="1:4" x14ac:dyDescent="0.25">
      <c r="A24" s="3">
        <v>10011641</v>
      </c>
      <c r="B24" s="4">
        <v>18</v>
      </c>
      <c r="C24" s="4">
        <v>977</v>
      </c>
      <c r="D24" s="4">
        <v>463.85368450106949</v>
      </c>
    </row>
    <row r="25" spans="1:4" x14ac:dyDescent="0.25">
      <c r="A25" s="3">
        <v>10031844</v>
      </c>
      <c r="B25" s="4">
        <v>17</v>
      </c>
      <c r="C25" s="4">
        <v>715</v>
      </c>
      <c r="D25" s="4">
        <v>461.80807612739619</v>
      </c>
    </row>
    <row r="26" spans="1:4" x14ac:dyDescent="0.25">
      <c r="A26" s="3">
        <v>10006503</v>
      </c>
      <c r="B26" s="4">
        <v>17</v>
      </c>
      <c r="C26" s="4">
        <v>975</v>
      </c>
      <c r="D26" s="4">
        <v>453.92259755301927</v>
      </c>
    </row>
    <row r="27" spans="1:4" x14ac:dyDescent="0.25">
      <c r="A27" s="3">
        <v>10014255</v>
      </c>
      <c r="B27" s="4">
        <v>16</v>
      </c>
      <c r="C27" s="4">
        <v>1013</v>
      </c>
      <c r="D27" s="4">
        <v>451.08950831208591</v>
      </c>
    </row>
    <row r="28" spans="1:4" x14ac:dyDescent="0.25">
      <c r="A28" s="3">
        <v>10078132</v>
      </c>
      <c r="B28" s="4">
        <v>18</v>
      </c>
      <c r="C28" s="4">
        <v>957</v>
      </c>
      <c r="D28" s="4">
        <v>425.20801889729626</v>
      </c>
    </row>
    <row r="29" spans="1:4" x14ac:dyDescent="0.25">
      <c r="A29" s="3">
        <v>10072947</v>
      </c>
      <c r="B29" s="4">
        <v>16</v>
      </c>
      <c r="C29" s="4">
        <v>805</v>
      </c>
      <c r="D29" s="4">
        <v>418.90482802917762</v>
      </c>
    </row>
    <row r="30" spans="1:4" x14ac:dyDescent="0.25">
      <c r="A30" s="3">
        <v>10029570</v>
      </c>
      <c r="B30" s="4">
        <v>16</v>
      </c>
      <c r="C30" s="4">
        <v>1007</v>
      </c>
      <c r="D30" s="4">
        <v>418.30785318939013</v>
      </c>
    </row>
    <row r="31" spans="1:4" x14ac:dyDescent="0.25">
      <c r="A31" s="3">
        <v>10072594</v>
      </c>
      <c r="B31" s="4">
        <v>17</v>
      </c>
      <c r="C31" s="4">
        <v>789</v>
      </c>
      <c r="D31" s="4">
        <v>417.14019327926013</v>
      </c>
    </row>
    <row r="32" spans="1:4" x14ac:dyDescent="0.25">
      <c r="A32" s="3">
        <v>10080481</v>
      </c>
      <c r="B32" s="4">
        <v>17</v>
      </c>
      <c r="C32" s="4">
        <v>603</v>
      </c>
      <c r="D32" s="4">
        <v>415.03376896121887</v>
      </c>
    </row>
    <row r="33" spans="1:4" x14ac:dyDescent="0.25">
      <c r="A33" s="3">
        <v>10025538</v>
      </c>
      <c r="B33" s="4">
        <v>16</v>
      </c>
      <c r="C33" s="4">
        <v>803</v>
      </c>
      <c r="D33" s="4">
        <v>404.60756680505193</v>
      </c>
    </row>
    <row r="34" spans="1:4" x14ac:dyDescent="0.25">
      <c r="A34" s="3">
        <v>10031843</v>
      </c>
      <c r="B34" s="4">
        <v>17</v>
      </c>
      <c r="C34" s="4">
        <v>802</v>
      </c>
      <c r="D34" s="4">
        <v>403.27583716541915</v>
      </c>
    </row>
    <row r="35" spans="1:4" x14ac:dyDescent="0.25">
      <c r="A35" s="3">
        <v>10052254</v>
      </c>
      <c r="B35" s="4">
        <v>15</v>
      </c>
      <c r="C35" s="4">
        <v>766</v>
      </c>
      <c r="D35" s="4">
        <v>387.27744420315918</v>
      </c>
    </row>
    <row r="36" spans="1:4" x14ac:dyDescent="0.25">
      <c r="A36" s="3">
        <v>10073889</v>
      </c>
      <c r="B36" s="4">
        <v>15</v>
      </c>
      <c r="C36" s="4">
        <v>708</v>
      </c>
      <c r="D36" s="4">
        <v>380.55131070778793</v>
      </c>
    </row>
    <row r="37" spans="1:4" x14ac:dyDescent="0.25">
      <c r="A37" s="3">
        <v>10076349</v>
      </c>
      <c r="B37" s="4">
        <v>18</v>
      </c>
      <c r="C37" s="4">
        <v>800</v>
      </c>
      <c r="D37" s="4">
        <v>366.46647639493449</v>
      </c>
    </row>
    <row r="38" spans="1:4" x14ac:dyDescent="0.25">
      <c r="A38" s="3">
        <v>10009662</v>
      </c>
      <c r="B38" s="4">
        <v>17</v>
      </c>
      <c r="C38" s="4">
        <v>982</v>
      </c>
      <c r="D38" s="4">
        <v>363.52175631590325</v>
      </c>
    </row>
    <row r="39" spans="1:4" x14ac:dyDescent="0.25">
      <c r="A39" s="3">
        <v>10080596</v>
      </c>
      <c r="B39" s="4">
        <v>12</v>
      </c>
      <c r="C39" s="4">
        <v>414</v>
      </c>
      <c r="D39" s="4">
        <v>283.24603271438605</v>
      </c>
    </row>
    <row r="40" spans="1:4" x14ac:dyDescent="0.25">
      <c r="A40" s="3">
        <v>10073494</v>
      </c>
      <c r="B40" s="4">
        <v>13</v>
      </c>
      <c r="C40" s="4">
        <v>588</v>
      </c>
      <c r="D40" s="4">
        <v>239.05656298426646</v>
      </c>
    </row>
    <row r="41" spans="1:4" x14ac:dyDescent="0.25">
      <c r="A41" s="3">
        <v>10046352</v>
      </c>
      <c r="B41" s="4">
        <v>15</v>
      </c>
      <c r="C41" s="4">
        <v>542</v>
      </c>
      <c r="D41" s="4">
        <v>225.80996102190471</v>
      </c>
    </row>
    <row r="42" spans="1:4" x14ac:dyDescent="0.25">
      <c r="A42" s="3">
        <v>10080747</v>
      </c>
      <c r="B42" s="4">
        <v>7</v>
      </c>
      <c r="C42" s="4">
        <v>252</v>
      </c>
      <c r="D42" s="4">
        <v>127.36792410229592</v>
      </c>
    </row>
    <row r="43" spans="1:4" x14ac:dyDescent="0.25">
      <c r="A43" s="3">
        <v>10080624</v>
      </c>
      <c r="B43" s="4">
        <v>7</v>
      </c>
      <c r="C43" s="4">
        <v>160</v>
      </c>
      <c r="D43" s="4">
        <v>78.465934254304287</v>
      </c>
    </row>
    <row r="44" spans="1:4" x14ac:dyDescent="0.25">
      <c r="A44" s="3">
        <v>10080526</v>
      </c>
      <c r="B44" s="4">
        <v>7</v>
      </c>
      <c r="C44" s="4">
        <v>96</v>
      </c>
      <c r="D44" s="4">
        <v>55.463677989325248</v>
      </c>
    </row>
    <row r="45" spans="1:4" x14ac:dyDescent="0.25">
      <c r="A45" s="3" t="s">
        <v>28</v>
      </c>
      <c r="B45" s="4">
        <v>647</v>
      </c>
      <c r="C45" s="4">
        <v>33729</v>
      </c>
      <c r="D45" s="4">
        <v>18983.841777517657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1555-190E-4D4B-A02C-A04E7E5B225F}">
  <dimension ref="A2:S73"/>
  <sheetViews>
    <sheetView workbookViewId="0">
      <selection activeCell="F2" sqref="F2:G2"/>
    </sheetView>
  </sheetViews>
  <sheetFormatPr defaultRowHeight="15" x14ac:dyDescent="0.25"/>
  <cols>
    <col min="1" max="1" width="19.85546875" bestFit="1" customWidth="1"/>
    <col min="2" max="2" width="14.85546875" bestFit="1" customWidth="1"/>
    <col min="3" max="3" width="23.42578125" bestFit="1" customWidth="1"/>
    <col min="4" max="4" width="27.85546875" bestFit="1" customWidth="1"/>
    <col min="5" max="5" width="10.85546875" bestFit="1" customWidth="1"/>
    <col min="6" max="6" width="27.7109375" customWidth="1"/>
    <col min="7" max="7" width="9.5703125" bestFit="1" customWidth="1"/>
    <col min="9" max="9" width="10.85546875" bestFit="1" customWidth="1"/>
    <col min="10" max="10" width="24.28515625" bestFit="1" customWidth="1"/>
    <col min="13" max="13" width="10.85546875" bestFit="1" customWidth="1"/>
    <col min="14" max="14" width="24.28515625" bestFit="1" customWidth="1"/>
    <col min="17" max="17" width="10.85546875" bestFit="1" customWidth="1"/>
    <col min="18" max="18" width="24.28515625" bestFit="1" customWidth="1"/>
  </cols>
  <sheetData>
    <row r="2" spans="1:7" ht="18.75" x14ac:dyDescent="0.3">
      <c r="A2" s="2" t="s">
        <v>27</v>
      </c>
      <c r="B2" t="s">
        <v>37</v>
      </c>
      <c r="C2" t="s">
        <v>29</v>
      </c>
      <c r="D2" t="s">
        <v>34</v>
      </c>
      <c r="F2" s="11" t="s">
        <v>40</v>
      </c>
      <c r="G2" s="12">
        <f>(B70+F70+J73+N72+R72)/5</f>
        <v>12.096084811088611</v>
      </c>
    </row>
    <row r="3" spans="1:7" x14ac:dyDescent="0.25">
      <c r="A3" s="3" t="s">
        <v>25</v>
      </c>
      <c r="B3" s="4">
        <v>2</v>
      </c>
      <c r="C3" s="4">
        <v>2</v>
      </c>
      <c r="D3" s="4">
        <v>2.8650753483456879</v>
      </c>
    </row>
    <row r="4" spans="1:7" x14ac:dyDescent="0.25">
      <c r="A4" s="3" t="s">
        <v>4</v>
      </c>
      <c r="B4" s="4">
        <v>33</v>
      </c>
      <c r="C4" s="4">
        <v>103</v>
      </c>
      <c r="D4" s="4">
        <v>3.9593215387067451</v>
      </c>
    </row>
    <row r="5" spans="1:7" x14ac:dyDescent="0.25">
      <c r="A5" s="3" t="s">
        <v>5</v>
      </c>
      <c r="B5" s="4">
        <v>35</v>
      </c>
      <c r="C5" s="4">
        <v>1243</v>
      </c>
      <c r="D5" s="4">
        <v>23.859197406172427</v>
      </c>
    </row>
    <row r="6" spans="1:7" x14ac:dyDescent="0.25">
      <c r="A6" s="3" t="s">
        <v>6</v>
      </c>
      <c r="B6" s="4">
        <v>33</v>
      </c>
      <c r="C6" s="4">
        <v>2649</v>
      </c>
      <c r="D6" s="4">
        <v>46.414215339600659</v>
      </c>
    </row>
    <row r="7" spans="1:7" x14ac:dyDescent="0.25">
      <c r="A7" s="7" t="s">
        <v>7</v>
      </c>
      <c r="B7" s="8">
        <v>37</v>
      </c>
      <c r="C7" s="8">
        <v>3773</v>
      </c>
      <c r="D7" s="8">
        <v>50.419868716772477</v>
      </c>
    </row>
    <row r="8" spans="1:7" x14ac:dyDescent="0.25">
      <c r="A8" s="7" t="s">
        <v>8</v>
      </c>
      <c r="B8" s="8">
        <v>37</v>
      </c>
      <c r="C8" s="8">
        <v>3005</v>
      </c>
      <c r="D8" s="8">
        <v>44.762473658203021</v>
      </c>
    </row>
    <row r="9" spans="1:7" x14ac:dyDescent="0.25">
      <c r="A9" s="3" t="s">
        <v>9</v>
      </c>
      <c r="B9" s="4">
        <v>39</v>
      </c>
      <c r="C9" s="4">
        <v>2272</v>
      </c>
      <c r="D9" s="4">
        <v>33.085821379379027</v>
      </c>
    </row>
    <row r="10" spans="1:7" x14ac:dyDescent="0.25">
      <c r="A10" s="3" t="s">
        <v>10</v>
      </c>
      <c r="B10" s="4">
        <v>40</v>
      </c>
      <c r="C10" s="4">
        <v>1012</v>
      </c>
      <c r="D10" s="4">
        <v>15.885232193425619</v>
      </c>
    </row>
    <row r="11" spans="1:7" x14ac:dyDescent="0.25">
      <c r="A11" s="3" t="s">
        <v>26</v>
      </c>
      <c r="B11" s="4">
        <v>1</v>
      </c>
      <c r="C11" s="4">
        <v>1</v>
      </c>
      <c r="D11" s="4">
        <v>2.6539806782346749</v>
      </c>
    </row>
    <row r="12" spans="1:7" x14ac:dyDescent="0.25">
      <c r="A12" s="3" t="s">
        <v>22</v>
      </c>
      <c r="B12" s="4">
        <v>3</v>
      </c>
      <c r="C12" s="4">
        <v>3</v>
      </c>
      <c r="D12" s="4">
        <v>1.6229573812050735</v>
      </c>
    </row>
    <row r="13" spans="1:7" x14ac:dyDescent="0.25">
      <c r="A13" s="3" t="s">
        <v>11</v>
      </c>
      <c r="B13" s="4">
        <v>40</v>
      </c>
      <c r="C13" s="4">
        <v>279</v>
      </c>
      <c r="D13" s="4">
        <v>6.8353126501307218</v>
      </c>
    </row>
    <row r="14" spans="1:7" x14ac:dyDescent="0.25">
      <c r="A14" s="3" t="s">
        <v>12</v>
      </c>
      <c r="B14" s="4">
        <v>38</v>
      </c>
      <c r="C14" s="4">
        <v>1821</v>
      </c>
      <c r="D14" s="4">
        <v>29.39627924808423</v>
      </c>
    </row>
    <row r="15" spans="1:7" x14ac:dyDescent="0.25">
      <c r="A15" s="7" t="s">
        <v>13</v>
      </c>
      <c r="B15" s="8">
        <v>40</v>
      </c>
      <c r="C15" s="8">
        <v>3140</v>
      </c>
      <c r="D15" s="8">
        <v>38.506714860538501</v>
      </c>
    </row>
    <row r="16" spans="1:7" x14ac:dyDescent="0.25">
      <c r="A16" s="7" t="s">
        <v>14</v>
      </c>
      <c r="B16" s="8">
        <v>39</v>
      </c>
      <c r="C16" s="8">
        <v>3889</v>
      </c>
      <c r="D16" s="8">
        <v>54.384789219770795</v>
      </c>
    </row>
    <row r="17" spans="1:19" x14ac:dyDescent="0.25">
      <c r="A17" s="3" t="s">
        <v>15</v>
      </c>
      <c r="B17" s="4">
        <v>39</v>
      </c>
      <c r="C17" s="4">
        <v>1394</v>
      </c>
      <c r="D17" s="4">
        <v>21.800645018658727</v>
      </c>
    </row>
    <row r="18" spans="1:19" x14ac:dyDescent="0.25">
      <c r="A18" s="3" t="s">
        <v>16</v>
      </c>
      <c r="B18" s="4">
        <v>39</v>
      </c>
      <c r="C18" s="4">
        <v>277</v>
      </c>
      <c r="D18" s="4">
        <v>6.3458594779350532</v>
      </c>
    </row>
    <row r="19" spans="1:19" x14ac:dyDescent="0.25">
      <c r="A19" s="3" t="s">
        <v>24</v>
      </c>
      <c r="B19" s="4">
        <v>1</v>
      </c>
      <c r="C19" s="4">
        <v>1</v>
      </c>
      <c r="D19" s="4">
        <v>3.4545051302870071</v>
      </c>
    </row>
    <row r="20" spans="1:19" x14ac:dyDescent="0.25">
      <c r="A20" s="3" t="s">
        <v>21</v>
      </c>
      <c r="B20" s="4">
        <v>1</v>
      </c>
      <c r="C20" s="4">
        <v>1</v>
      </c>
      <c r="D20" s="4">
        <v>0.43429804578488568</v>
      </c>
    </row>
    <row r="21" spans="1:19" x14ac:dyDescent="0.25">
      <c r="A21" s="3" t="s">
        <v>23</v>
      </c>
      <c r="B21" s="4">
        <v>2</v>
      </c>
      <c r="C21" s="4">
        <v>2</v>
      </c>
      <c r="D21" s="4">
        <v>2.7939449756182539</v>
      </c>
    </row>
    <row r="22" spans="1:19" x14ac:dyDescent="0.25">
      <c r="A22" s="3" t="s">
        <v>17</v>
      </c>
      <c r="B22" s="4">
        <v>33</v>
      </c>
      <c r="C22" s="4">
        <v>109</v>
      </c>
      <c r="D22" s="4">
        <v>4.3579814490127369</v>
      </c>
    </row>
    <row r="23" spans="1:19" x14ac:dyDescent="0.25">
      <c r="A23" s="3" t="s">
        <v>18</v>
      </c>
      <c r="B23" s="4">
        <v>39</v>
      </c>
      <c r="C23" s="4">
        <v>2749</v>
      </c>
      <c r="D23" s="4">
        <v>36.95963924079836</v>
      </c>
    </row>
    <row r="24" spans="1:19" x14ac:dyDescent="0.25">
      <c r="A24" s="3" t="s">
        <v>19</v>
      </c>
      <c r="B24" s="4">
        <v>37</v>
      </c>
      <c r="C24" s="4">
        <v>2718</v>
      </c>
      <c r="D24" s="4">
        <v>42.16288013995419</v>
      </c>
    </row>
    <row r="25" spans="1:19" x14ac:dyDescent="0.25">
      <c r="A25" s="7" t="s">
        <v>20</v>
      </c>
      <c r="B25" s="8">
        <v>39</v>
      </c>
      <c r="C25" s="8">
        <v>3286</v>
      </c>
      <c r="D25" s="8">
        <v>44.140626027837882</v>
      </c>
    </row>
    <row r="26" spans="1:19" x14ac:dyDescent="0.25">
      <c r="A26" s="3" t="s">
        <v>28</v>
      </c>
      <c r="B26" s="4">
        <v>647</v>
      </c>
      <c r="C26" s="4">
        <v>33729</v>
      </c>
      <c r="D26" s="4">
        <v>29.341331959069016</v>
      </c>
    </row>
    <row r="29" spans="1:19" ht="18.75" x14ac:dyDescent="0.3">
      <c r="A29" s="9">
        <v>46231</v>
      </c>
      <c r="E29" s="9">
        <v>46232</v>
      </c>
      <c r="I29" s="9">
        <v>46240</v>
      </c>
      <c r="M29" s="9">
        <v>46241</v>
      </c>
      <c r="Q29" s="9">
        <v>46254</v>
      </c>
    </row>
    <row r="30" spans="1:19" x14ac:dyDescent="0.25">
      <c r="A30" s="6" t="s">
        <v>27</v>
      </c>
      <c r="B30" s="6" t="s">
        <v>34</v>
      </c>
      <c r="C30" s="6" t="s">
        <v>38</v>
      </c>
      <c r="E30" s="6" t="s">
        <v>27</v>
      </c>
      <c r="F30" s="6" t="s">
        <v>30</v>
      </c>
      <c r="G30" s="6" t="s">
        <v>38</v>
      </c>
      <c r="I30" s="6" t="s">
        <v>27</v>
      </c>
      <c r="J30" s="6" t="s">
        <v>30</v>
      </c>
      <c r="K30" s="6" t="s">
        <v>38</v>
      </c>
      <c r="M30" s="6" t="s">
        <v>27</v>
      </c>
      <c r="N30" s="6" t="s">
        <v>30</v>
      </c>
      <c r="O30" s="6" t="s">
        <v>38</v>
      </c>
      <c r="Q30" s="6" t="s">
        <v>27</v>
      </c>
      <c r="R30" s="6" t="s">
        <v>30</v>
      </c>
      <c r="S30" s="6" t="s">
        <v>38</v>
      </c>
    </row>
    <row r="31" spans="1:19" x14ac:dyDescent="0.25">
      <c r="A31">
        <v>10001245</v>
      </c>
      <c r="B31">
        <v>67.949704105988062</v>
      </c>
      <c r="C31">
        <f>ABS(B31-$B$68)</f>
        <v>17.529835389215584</v>
      </c>
      <c r="E31">
        <v>10001245</v>
      </c>
      <c r="F31">
        <v>37.432457027880858</v>
      </c>
      <c r="G31">
        <f>ABS(F31-$F$68)</f>
        <v>7.330016630322163</v>
      </c>
      <c r="I31">
        <v>10001245</v>
      </c>
      <c r="J31">
        <v>31.518555038529222</v>
      </c>
      <c r="K31">
        <f>ABS(J31-$J$71)</f>
        <v>6.9881598220092798</v>
      </c>
      <c r="M31">
        <v>10001245</v>
      </c>
      <c r="N31">
        <v>47.337889181157742</v>
      </c>
      <c r="O31">
        <f>ABS(N31-$N$70)</f>
        <v>7.0469000386130531</v>
      </c>
      <c r="Q31">
        <v>10001245</v>
      </c>
      <c r="R31">
        <v>34.479814157908798</v>
      </c>
      <c r="S31">
        <f>ABS(R31-$R$70)</f>
        <v>9.6608118699290841</v>
      </c>
    </row>
    <row r="32" spans="1:19" x14ac:dyDescent="0.25">
      <c r="A32">
        <v>10003936</v>
      </c>
      <c r="B32">
        <v>49.891531295963993</v>
      </c>
      <c r="C32">
        <f t="shared" ref="C32:C67" si="0">ABS(B32-$B$68)</f>
        <v>0.52833742080848367</v>
      </c>
      <c r="E32">
        <v>10003936</v>
      </c>
      <c r="F32">
        <v>52.568307567947834</v>
      </c>
      <c r="G32">
        <f t="shared" ref="G32:G67" si="1">ABS(F32-$F$68)</f>
        <v>7.8058339097448126</v>
      </c>
      <c r="I32">
        <v>10003936</v>
      </c>
      <c r="J32">
        <v>41.07973683690718</v>
      </c>
      <c r="K32">
        <f t="shared" ref="K32:K70" si="2">ABS(J32-$J$71)</f>
        <v>2.573021976368679</v>
      </c>
      <c r="M32">
        <v>10003936</v>
      </c>
      <c r="N32">
        <v>68.774795601024906</v>
      </c>
      <c r="O32">
        <f t="shared" ref="O32:O69" si="3">ABS(N32-$N$70)</f>
        <v>14.390006381254111</v>
      </c>
      <c r="Q32">
        <v>10003936</v>
      </c>
      <c r="R32">
        <v>57.236973884026753</v>
      </c>
      <c r="S32">
        <f t="shared" ref="S32:S69" si="4">ABS(R32-$R$70)</f>
        <v>13.096347856188871</v>
      </c>
    </row>
    <row r="33" spans="1:19" x14ac:dyDescent="0.25">
      <c r="A33">
        <v>10006503</v>
      </c>
      <c r="B33">
        <v>38.346146260469013</v>
      </c>
      <c r="C33">
        <f t="shared" si="0"/>
        <v>12.073722456303464</v>
      </c>
      <c r="E33">
        <v>10006503</v>
      </c>
      <c r="F33">
        <v>45.78334586746363</v>
      </c>
      <c r="G33">
        <f t="shared" si="1"/>
        <v>1.0208722092606095</v>
      </c>
      <c r="I33">
        <v>10006503</v>
      </c>
      <c r="J33">
        <v>33.983399069124218</v>
      </c>
      <c r="K33">
        <f t="shared" si="2"/>
        <v>4.5233157914142836</v>
      </c>
      <c r="M33">
        <v>10006503</v>
      </c>
      <c r="N33">
        <v>47.543383181283261</v>
      </c>
      <c r="O33">
        <f t="shared" si="3"/>
        <v>6.8414060384875341</v>
      </c>
      <c r="Q33">
        <v>10006503</v>
      </c>
      <c r="R33">
        <v>38.534244830769133</v>
      </c>
      <c r="S33">
        <f t="shared" si="4"/>
        <v>5.6063811970687496</v>
      </c>
    </row>
    <row r="34" spans="1:19" x14ac:dyDescent="0.25">
      <c r="A34">
        <v>10009662</v>
      </c>
      <c r="B34">
        <v>40.536307869471628</v>
      </c>
      <c r="C34">
        <f t="shared" si="0"/>
        <v>9.8835608473008492</v>
      </c>
      <c r="E34">
        <v>10009662</v>
      </c>
      <c r="F34">
        <v>35.297528428997268</v>
      </c>
      <c r="G34">
        <f t="shared" si="1"/>
        <v>9.4649452292057532</v>
      </c>
      <c r="I34">
        <v>10009662</v>
      </c>
      <c r="J34">
        <v>30.77391842487485</v>
      </c>
      <c r="K34">
        <f t="shared" si="2"/>
        <v>7.7327964356636514</v>
      </c>
      <c r="M34">
        <v>10009662</v>
      </c>
      <c r="N34">
        <v>26.54948623448567</v>
      </c>
      <c r="O34">
        <f t="shared" si="3"/>
        <v>27.835302985285125</v>
      </c>
      <c r="Q34">
        <v>10009662</v>
      </c>
      <c r="R34">
        <v>47.235444642767888</v>
      </c>
      <c r="S34">
        <f t="shared" si="4"/>
        <v>3.0948186149300057</v>
      </c>
    </row>
    <row r="35" spans="1:19" x14ac:dyDescent="0.25">
      <c r="A35">
        <v>10011641</v>
      </c>
      <c r="B35">
        <v>50.055675771382958</v>
      </c>
      <c r="C35">
        <f t="shared" si="0"/>
        <v>0.36419294538951874</v>
      </c>
      <c r="E35">
        <v>10011641</v>
      </c>
      <c r="F35">
        <v>37.948472252952897</v>
      </c>
      <c r="G35">
        <f t="shared" si="1"/>
        <v>6.8140014052501243</v>
      </c>
      <c r="I35">
        <v>10011641</v>
      </c>
      <c r="J35">
        <v>41.595331209499513</v>
      </c>
      <c r="K35">
        <f t="shared" si="2"/>
        <v>3.0886163489610112</v>
      </c>
      <c r="M35">
        <v>10011641</v>
      </c>
      <c r="N35">
        <v>74.736096911784458</v>
      </c>
      <c r="O35">
        <f t="shared" si="3"/>
        <v>20.351307692013663</v>
      </c>
      <c r="Q35">
        <v>10011641</v>
      </c>
      <c r="R35">
        <v>37.161174145237602</v>
      </c>
      <c r="S35">
        <f t="shared" si="4"/>
        <v>6.97945188260028</v>
      </c>
    </row>
    <row r="36" spans="1:19" x14ac:dyDescent="0.25">
      <c r="A36">
        <v>10014010</v>
      </c>
      <c r="B36">
        <v>85.193885257684229</v>
      </c>
      <c r="C36">
        <f t="shared" si="0"/>
        <v>34.774016540911752</v>
      </c>
      <c r="E36">
        <v>10014010</v>
      </c>
      <c r="F36">
        <v>70.407870491246612</v>
      </c>
      <c r="G36">
        <f t="shared" si="1"/>
        <v>25.645396833043591</v>
      </c>
      <c r="I36">
        <v>10014010</v>
      </c>
      <c r="J36">
        <v>44.004867674138787</v>
      </c>
      <c r="K36">
        <f t="shared" si="2"/>
        <v>5.4981528136002851</v>
      </c>
      <c r="M36">
        <v>10014010</v>
      </c>
      <c r="N36">
        <v>48.826201875820878</v>
      </c>
      <c r="O36">
        <f t="shared" si="3"/>
        <v>5.5585873439499167</v>
      </c>
      <c r="Q36">
        <v>10014010</v>
      </c>
      <c r="R36">
        <v>56.330518869662207</v>
      </c>
      <c r="S36">
        <f t="shared" si="4"/>
        <v>12.189892841824324</v>
      </c>
    </row>
    <row r="37" spans="1:19" x14ac:dyDescent="0.25">
      <c r="A37">
        <v>10014255</v>
      </c>
      <c r="B37">
        <v>50.779446424757857</v>
      </c>
      <c r="C37">
        <f t="shared" si="0"/>
        <v>0.35957770798538036</v>
      </c>
      <c r="E37">
        <v>10014255</v>
      </c>
      <c r="F37">
        <v>35.398292618470059</v>
      </c>
      <c r="G37">
        <f t="shared" si="1"/>
        <v>9.3641810397329621</v>
      </c>
      <c r="I37">
        <v>10014255</v>
      </c>
      <c r="J37">
        <v>37.306381660639893</v>
      </c>
      <c r="K37">
        <f t="shared" si="2"/>
        <v>1.2003331998986084</v>
      </c>
      <c r="M37">
        <v>10014255</v>
      </c>
      <c r="N37">
        <v>46.437192079308957</v>
      </c>
      <c r="O37">
        <f t="shared" si="3"/>
        <v>7.9475971404618377</v>
      </c>
      <c r="Q37">
        <v>10014255</v>
      </c>
      <c r="R37">
        <v>36.312287946839078</v>
      </c>
      <c r="S37">
        <f t="shared" si="4"/>
        <v>7.8283380809988046</v>
      </c>
    </row>
    <row r="38" spans="1:19" x14ac:dyDescent="0.25">
      <c r="A38">
        <v>10014704</v>
      </c>
      <c r="B38">
        <v>39.65373177788377</v>
      </c>
      <c r="C38">
        <f t="shared" si="0"/>
        <v>10.766136938888707</v>
      </c>
      <c r="E38">
        <v>10014704</v>
      </c>
      <c r="F38">
        <v>55.240894475948792</v>
      </c>
      <c r="G38">
        <f t="shared" si="1"/>
        <v>10.478420817745771</v>
      </c>
      <c r="I38">
        <v>10014704</v>
      </c>
      <c r="J38">
        <v>43.712586713400263</v>
      </c>
      <c r="K38">
        <f t="shared" si="2"/>
        <v>5.2058718528617618</v>
      </c>
      <c r="M38">
        <v>10014704</v>
      </c>
      <c r="N38">
        <v>57.747643627027742</v>
      </c>
      <c r="O38">
        <f t="shared" si="3"/>
        <v>3.3628544072569468</v>
      </c>
      <c r="Q38">
        <v>10014704</v>
      </c>
      <c r="R38">
        <v>37.33179042130449</v>
      </c>
      <c r="S38">
        <f t="shared" si="4"/>
        <v>6.8088356065333926</v>
      </c>
    </row>
    <row r="39" spans="1:19" x14ac:dyDescent="0.25">
      <c r="A39">
        <v>10024737</v>
      </c>
      <c r="B39">
        <v>52.583117394984932</v>
      </c>
      <c r="C39">
        <f t="shared" si="0"/>
        <v>2.1632486782124545</v>
      </c>
      <c r="E39">
        <v>10024737</v>
      </c>
      <c r="F39">
        <v>28.137474566738849</v>
      </c>
      <c r="G39">
        <f t="shared" si="1"/>
        <v>16.624999091464172</v>
      </c>
      <c r="I39">
        <v>10024737</v>
      </c>
      <c r="J39">
        <v>29.37356640435285</v>
      </c>
      <c r="K39">
        <f t="shared" si="2"/>
        <v>9.1331484561856513</v>
      </c>
      <c r="M39">
        <v>10024737</v>
      </c>
      <c r="N39">
        <v>35.933201216429687</v>
      </c>
      <c r="O39">
        <f t="shared" si="3"/>
        <v>18.451588003341108</v>
      </c>
      <c r="Q39">
        <v>10024737</v>
      </c>
      <c r="R39">
        <v>41.648881594027017</v>
      </c>
      <c r="S39">
        <f t="shared" si="4"/>
        <v>2.4917444338108652</v>
      </c>
    </row>
    <row r="40" spans="1:19" x14ac:dyDescent="0.25">
      <c r="A40">
        <v>10024880</v>
      </c>
      <c r="B40">
        <v>47.697762819118942</v>
      </c>
      <c r="C40">
        <f t="shared" si="0"/>
        <v>2.7221058976535346</v>
      </c>
      <c r="E40">
        <v>10024880</v>
      </c>
      <c r="F40">
        <v>47.091762759721178</v>
      </c>
      <c r="G40">
        <f t="shared" si="1"/>
        <v>2.3292891015181567</v>
      </c>
      <c r="I40">
        <v>10024880</v>
      </c>
      <c r="J40">
        <v>29.12679465437521</v>
      </c>
      <c r="K40">
        <f t="shared" si="2"/>
        <v>9.3799202061632911</v>
      </c>
      <c r="M40">
        <v>10024880</v>
      </c>
      <c r="N40">
        <v>39.355258184927393</v>
      </c>
      <c r="O40">
        <f t="shared" si="3"/>
        <v>15.029531034843401</v>
      </c>
      <c r="Q40">
        <v>10024880</v>
      </c>
      <c r="R40">
        <v>49.956264783839117</v>
      </c>
      <c r="S40">
        <f t="shared" si="4"/>
        <v>5.8156387560012348</v>
      </c>
    </row>
    <row r="41" spans="1:19" x14ac:dyDescent="0.25">
      <c r="A41">
        <v>10025537</v>
      </c>
      <c r="B41">
        <v>60.830976044197961</v>
      </c>
      <c r="C41">
        <f t="shared" si="0"/>
        <v>10.411107327425484</v>
      </c>
      <c r="E41">
        <v>10025537</v>
      </c>
      <c r="F41">
        <v>48.872337749533919</v>
      </c>
      <c r="G41">
        <f t="shared" si="1"/>
        <v>4.1098640913308984</v>
      </c>
      <c r="I41">
        <v>10025537</v>
      </c>
      <c r="J41">
        <v>50.947864144898347</v>
      </c>
      <c r="K41">
        <f t="shared" si="2"/>
        <v>12.441149284359845</v>
      </c>
      <c r="M41">
        <v>10025537</v>
      </c>
      <c r="N41">
        <v>49.419741779866627</v>
      </c>
      <c r="O41">
        <f t="shared" si="3"/>
        <v>4.9650474399041684</v>
      </c>
      <c r="Q41">
        <v>10025537</v>
      </c>
      <c r="R41">
        <v>57.110430061385173</v>
      </c>
      <c r="S41">
        <f t="shared" si="4"/>
        <v>12.969804033547291</v>
      </c>
    </row>
    <row r="42" spans="1:19" x14ac:dyDescent="0.25">
      <c r="A42">
        <v>10025538</v>
      </c>
      <c r="B42">
        <v>50.788681135826458</v>
      </c>
      <c r="C42">
        <f t="shared" si="0"/>
        <v>0.36881241905398099</v>
      </c>
      <c r="E42">
        <v>10025538</v>
      </c>
      <c r="F42">
        <v>32.269782886426107</v>
      </c>
      <c r="G42">
        <f t="shared" si="1"/>
        <v>12.492690771776914</v>
      </c>
      <c r="I42">
        <v>10025538</v>
      </c>
      <c r="J42">
        <v>40.331323298435628</v>
      </c>
      <c r="K42">
        <f t="shared" si="2"/>
        <v>1.8246084378971261</v>
      </c>
      <c r="M42">
        <v>10025538</v>
      </c>
      <c r="N42">
        <v>50.768607430101021</v>
      </c>
      <c r="O42">
        <f t="shared" si="3"/>
        <v>3.6161817896697741</v>
      </c>
      <c r="Q42">
        <v>10025538</v>
      </c>
      <c r="R42">
        <v>42.522048396619518</v>
      </c>
      <c r="S42">
        <f t="shared" si="4"/>
        <v>1.6185776312183648</v>
      </c>
    </row>
    <row r="43" spans="1:19" x14ac:dyDescent="0.25">
      <c r="A43">
        <v>10029570</v>
      </c>
      <c r="B43">
        <v>38.238734127440992</v>
      </c>
      <c r="C43">
        <f t="shared" si="0"/>
        <v>12.181134589331485</v>
      </c>
      <c r="E43">
        <v>10029570</v>
      </c>
      <c r="F43">
        <v>43.535038426554067</v>
      </c>
      <c r="G43">
        <f t="shared" si="1"/>
        <v>1.2274352316489541</v>
      </c>
      <c r="I43">
        <v>10029570</v>
      </c>
      <c r="J43">
        <v>32.700367669198073</v>
      </c>
      <c r="K43">
        <f t="shared" si="2"/>
        <v>5.8063471913404285</v>
      </c>
      <c r="M43">
        <v>10029570</v>
      </c>
      <c r="N43">
        <v>34.949929932550752</v>
      </c>
      <c r="O43">
        <f t="shared" si="3"/>
        <v>19.434859287220043</v>
      </c>
      <c r="Q43">
        <v>10029570</v>
      </c>
      <c r="R43">
        <v>48.239941572300182</v>
      </c>
      <c r="S43">
        <f t="shared" si="4"/>
        <v>4.0993155444623</v>
      </c>
    </row>
    <row r="44" spans="1:19" x14ac:dyDescent="0.25">
      <c r="A44">
        <v>10031843</v>
      </c>
      <c r="B44">
        <v>36.730866819068467</v>
      </c>
      <c r="C44">
        <f t="shared" si="0"/>
        <v>13.68900189770401</v>
      </c>
      <c r="E44">
        <v>10031843</v>
      </c>
      <c r="F44">
        <v>30.91460930029988</v>
      </c>
      <c r="G44">
        <f t="shared" si="1"/>
        <v>13.847864357903141</v>
      </c>
      <c r="I44">
        <v>10031843</v>
      </c>
      <c r="J44">
        <v>37.983639333749842</v>
      </c>
      <c r="K44">
        <f t="shared" si="2"/>
        <v>0.52307552678865932</v>
      </c>
      <c r="M44">
        <v>10031843</v>
      </c>
      <c r="N44">
        <v>55.087239609654013</v>
      </c>
      <c r="O44">
        <f t="shared" si="3"/>
        <v>0.70245038988321795</v>
      </c>
      <c r="Q44">
        <v>10031843</v>
      </c>
      <c r="R44">
        <v>39.774309091171013</v>
      </c>
      <c r="S44">
        <f t="shared" si="4"/>
        <v>4.3663169366668697</v>
      </c>
    </row>
    <row r="45" spans="1:19" x14ac:dyDescent="0.25">
      <c r="A45">
        <v>10031844</v>
      </c>
      <c r="B45">
        <v>42.400824314017747</v>
      </c>
      <c r="C45">
        <f t="shared" si="0"/>
        <v>8.0190444027547301</v>
      </c>
      <c r="E45">
        <v>10031844</v>
      </c>
      <c r="F45">
        <v>45.596808797731242</v>
      </c>
      <c r="G45">
        <f t="shared" si="1"/>
        <v>0.83433513952822125</v>
      </c>
      <c r="I45">
        <v>10031844</v>
      </c>
      <c r="J45">
        <v>30.67307899420658</v>
      </c>
      <c r="K45">
        <f t="shared" si="2"/>
        <v>7.833635866331921</v>
      </c>
      <c r="M45">
        <v>10031844</v>
      </c>
      <c r="N45">
        <v>65.63992696692253</v>
      </c>
      <c r="O45">
        <f t="shared" si="3"/>
        <v>11.255137747151736</v>
      </c>
      <c r="Q45">
        <v>10031844</v>
      </c>
      <c r="R45">
        <v>44.935369993312243</v>
      </c>
      <c r="S45">
        <f t="shared" si="4"/>
        <v>0.79474396547436044</v>
      </c>
    </row>
    <row r="46" spans="1:19" x14ac:dyDescent="0.25">
      <c r="A46">
        <v>10031845</v>
      </c>
      <c r="B46">
        <v>61.435985131423152</v>
      </c>
      <c r="C46">
        <f t="shared" si="0"/>
        <v>11.016116414650675</v>
      </c>
      <c r="E46">
        <v>10031845</v>
      </c>
      <c r="F46">
        <v>67.163754693836268</v>
      </c>
      <c r="G46">
        <f t="shared" si="1"/>
        <v>22.401281035633247</v>
      </c>
      <c r="I46">
        <v>10031845</v>
      </c>
      <c r="J46">
        <v>46.589337015989933</v>
      </c>
      <c r="K46">
        <f t="shared" si="2"/>
        <v>8.0826221554514319</v>
      </c>
      <c r="M46">
        <v>10031845</v>
      </c>
      <c r="N46">
        <v>74.029842915224762</v>
      </c>
      <c r="O46">
        <f t="shared" si="3"/>
        <v>19.645053695453967</v>
      </c>
      <c r="Q46">
        <v>10031845</v>
      </c>
      <c r="R46">
        <v>65.935517866145261</v>
      </c>
      <c r="S46">
        <f t="shared" si="4"/>
        <v>21.794891838307379</v>
      </c>
    </row>
    <row r="47" spans="1:19" x14ac:dyDescent="0.25">
      <c r="A47">
        <v>10035125</v>
      </c>
      <c r="B47">
        <v>64.792192432035478</v>
      </c>
      <c r="C47">
        <f t="shared" si="0"/>
        <v>14.372323715263001</v>
      </c>
      <c r="E47">
        <v>10035125</v>
      </c>
      <c r="F47">
        <v>40.576884092877947</v>
      </c>
      <c r="G47">
        <f t="shared" si="1"/>
        <v>4.1855895653250741</v>
      </c>
      <c r="I47">
        <v>10035125</v>
      </c>
      <c r="J47">
        <v>51.711779098193119</v>
      </c>
      <c r="K47">
        <f t="shared" si="2"/>
        <v>13.205064237654618</v>
      </c>
      <c r="M47">
        <v>10035125</v>
      </c>
      <c r="N47">
        <v>88.319142419177766</v>
      </c>
      <c r="O47">
        <f t="shared" si="3"/>
        <v>33.934353199406971</v>
      </c>
      <c r="Q47">
        <v>10035125</v>
      </c>
      <c r="R47">
        <v>62.472312387850529</v>
      </c>
      <c r="S47">
        <f t="shared" si="4"/>
        <v>18.331686360012647</v>
      </c>
    </row>
    <row r="48" spans="1:19" x14ac:dyDescent="0.25">
      <c r="A48">
        <v>10038027</v>
      </c>
      <c r="B48">
        <v>56.634620329455167</v>
      </c>
      <c r="C48">
        <f t="shared" si="0"/>
        <v>6.2147516126826901</v>
      </c>
      <c r="E48">
        <v>10038027</v>
      </c>
      <c r="F48">
        <v>56.495568431995032</v>
      </c>
      <c r="G48">
        <f t="shared" si="1"/>
        <v>11.733094773792011</v>
      </c>
      <c r="I48">
        <v>10038027</v>
      </c>
      <c r="J48">
        <v>38.592559819771068</v>
      </c>
      <c r="K48">
        <f t="shared" si="2"/>
        <v>8.5844959232566964E-2</v>
      </c>
      <c r="M48">
        <v>10038027</v>
      </c>
      <c r="N48">
        <v>51.246057683441343</v>
      </c>
      <c r="O48">
        <f t="shared" si="3"/>
        <v>3.1387315363294519</v>
      </c>
      <c r="Q48">
        <v>10038027</v>
      </c>
      <c r="R48">
        <v>43.057943254102362</v>
      </c>
      <c r="S48">
        <f t="shared" si="4"/>
        <v>1.0826827737355202</v>
      </c>
    </row>
    <row r="49" spans="1:19" x14ac:dyDescent="0.25">
      <c r="A49">
        <v>10046352</v>
      </c>
      <c r="B49">
        <v>18.425747915945351</v>
      </c>
      <c r="C49">
        <f t="shared" si="0"/>
        <v>31.994120800827126</v>
      </c>
      <c r="E49">
        <v>10046352</v>
      </c>
      <c r="F49">
        <v>17.70980704606011</v>
      </c>
      <c r="G49">
        <f t="shared" si="1"/>
        <v>27.052666612142911</v>
      </c>
      <c r="I49">
        <v>10046352</v>
      </c>
      <c r="J49">
        <v>21.4469109694016</v>
      </c>
      <c r="K49">
        <f t="shared" si="2"/>
        <v>17.059803891136902</v>
      </c>
      <c r="M49">
        <v>10046352</v>
      </c>
      <c r="N49">
        <v>26.669772001695431</v>
      </c>
      <c r="O49">
        <f t="shared" si="3"/>
        <v>27.715017218075364</v>
      </c>
      <c r="Q49">
        <v>10046352</v>
      </c>
      <c r="R49">
        <v>26.41742460598865</v>
      </c>
      <c r="S49">
        <f t="shared" si="4"/>
        <v>17.723201421849232</v>
      </c>
    </row>
    <row r="50" spans="1:19" x14ac:dyDescent="0.25">
      <c r="A50">
        <v>10046795</v>
      </c>
      <c r="B50">
        <v>57.906262416186593</v>
      </c>
      <c r="C50">
        <f t="shared" si="0"/>
        <v>7.4863936994141156</v>
      </c>
      <c r="E50">
        <v>10046795</v>
      </c>
      <c r="F50">
        <v>35.455788969635023</v>
      </c>
      <c r="G50">
        <f t="shared" si="1"/>
        <v>9.3066846885679979</v>
      </c>
      <c r="I50">
        <v>10046795</v>
      </c>
      <c r="J50">
        <v>32.83093749740496</v>
      </c>
      <c r="K50">
        <f t="shared" si="2"/>
        <v>5.6757773631335411</v>
      </c>
      <c r="M50">
        <v>10046795</v>
      </c>
      <c r="N50">
        <v>53.744394639411603</v>
      </c>
      <c r="O50">
        <f t="shared" si="3"/>
        <v>0.64039458035919239</v>
      </c>
      <c r="Q50">
        <v>10046795</v>
      </c>
      <c r="R50">
        <v>47.433083636996379</v>
      </c>
      <c r="S50">
        <f t="shared" si="4"/>
        <v>3.2924576091584967</v>
      </c>
    </row>
    <row r="51" spans="1:19" x14ac:dyDescent="0.25">
      <c r="A51">
        <v>10047909</v>
      </c>
      <c r="B51">
        <v>55.656750594574497</v>
      </c>
      <c r="C51">
        <f t="shared" si="0"/>
        <v>5.2368818778020199</v>
      </c>
      <c r="E51">
        <v>10047909</v>
      </c>
      <c r="F51">
        <v>37.625800767456212</v>
      </c>
      <c r="G51">
        <f t="shared" si="1"/>
        <v>7.1366728907468087</v>
      </c>
      <c r="I51">
        <v>10047909</v>
      </c>
      <c r="J51">
        <v>47.421984079246258</v>
      </c>
      <c r="K51">
        <f t="shared" si="2"/>
        <v>8.9152692187077562</v>
      </c>
      <c r="M51">
        <v>10047909</v>
      </c>
      <c r="N51">
        <v>56.763575874455299</v>
      </c>
      <c r="O51">
        <f t="shared" si="3"/>
        <v>2.3787866546845038</v>
      </c>
      <c r="Q51">
        <v>10047909</v>
      </c>
      <c r="R51">
        <v>42.515238211613998</v>
      </c>
      <c r="S51">
        <f t="shared" si="4"/>
        <v>1.6253878162238848</v>
      </c>
    </row>
    <row r="52" spans="1:19" x14ac:dyDescent="0.25">
      <c r="A52">
        <v>10052254</v>
      </c>
      <c r="B52">
        <v>51.599639378526959</v>
      </c>
      <c r="C52">
        <f t="shared" si="0"/>
        <v>1.1797706617544819</v>
      </c>
      <c r="E52">
        <v>10052254</v>
      </c>
      <c r="F52">
        <v>44.703701286369188</v>
      </c>
      <c r="G52">
        <f t="shared" si="1"/>
        <v>5.8772371833832437E-2</v>
      </c>
      <c r="I52">
        <v>10052254</v>
      </c>
      <c r="J52">
        <v>22.508605287024722</v>
      </c>
      <c r="K52">
        <f t="shared" si="2"/>
        <v>15.99810957351378</v>
      </c>
      <c r="M52">
        <v>10052254</v>
      </c>
      <c r="N52">
        <v>79.203436661984412</v>
      </c>
      <c r="O52">
        <f t="shared" si="3"/>
        <v>24.818647442213617</v>
      </c>
      <c r="Q52">
        <v>10052254</v>
      </c>
      <c r="R52">
        <v>24.55429070829662</v>
      </c>
      <c r="S52">
        <f t="shared" si="4"/>
        <v>19.586335319541263</v>
      </c>
    </row>
    <row r="53" spans="1:19" x14ac:dyDescent="0.25">
      <c r="A53">
        <v>10053112</v>
      </c>
      <c r="B53">
        <v>72.518330380932667</v>
      </c>
      <c r="C53">
        <f t="shared" si="0"/>
        <v>22.09846166416019</v>
      </c>
      <c r="E53">
        <v>10053112</v>
      </c>
      <c r="F53">
        <v>60.890674466453177</v>
      </c>
      <c r="G53">
        <f t="shared" si="1"/>
        <v>16.128200808250156</v>
      </c>
      <c r="I53">
        <v>10053112</v>
      </c>
      <c r="J53">
        <v>84.341150779535283</v>
      </c>
      <c r="K53">
        <f t="shared" si="2"/>
        <v>45.834435918996782</v>
      </c>
      <c r="M53">
        <v>10053112</v>
      </c>
      <c r="N53">
        <v>67.007507764046125</v>
      </c>
      <c r="O53">
        <f t="shared" si="3"/>
        <v>12.62271854427533</v>
      </c>
      <c r="Q53">
        <v>10053112</v>
      </c>
      <c r="R53">
        <v>92.322403072655277</v>
      </c>
      <c r="S53">
        <f t="shared" si="4"/>
        <v>48.181777044817395</v>
      </c>
    </row>
    <row r="54" spans="1:19" x14ac:dyDescent="0.25">
      <c r="A54">
        <v>10055658</v>
      </c>
      <c r="B54">
        <v>53.93246206468087</v>
      </c>
      <c r="C54">
        <f t="shared" si="0"/>
        <v>3.5125933479083926</v>
      </c>
      <c r="E54">
        <v>10055658</v>
      </c>
      <c r="F54">
        <v>60.531198988795239</v>
      </c>
      <c r="G54">
        <f t="shared" si="1"/>
        <v>15.768725330592218</v>
      </c>
      <c r="I54">
        <v>10055658</v>
      </c>
      <c r="J54">
        <v>34.84816121090342</v>
      </c>
      <c r="K54">
        <f t="shared" si="2"/>
        <v>3.6585536496350812</v>
      </c>
      <c r="M54">
        <v>10055658</v>
      </c>
      <c r="N54">
        <v>58.498033591265781</v>
      </c>
      <c r="O54">
        <f t="shared" si="3"/>
        <v>4.1132443714949858</v>
      </c>
      <c r="Q54">
        <v>10055658</v>
      </c>
      <c r="R54">
        <v>32.994765958644038</v>
      </c>
      <c r="S54">
        <f t="shared" si="4"/>
        <v>11.145860069193844</v>
      </c>
    </row>
    <row r="55" spans="1:19" x14ac:dyDescent="0.25">
      <c r="A55">
        <v>10062125</v>
      </c>
      <c r="B55">
        <v>55.729383411793883</v>
      </c>
      <c r="C55">
        <f t="shared" si="0"/>
        <v>5.3095146950214058</v>
      </c>
      <c r="E55">
        <v>10062125</v>
      </c>
      <c r="F55">
        <v>54.501152138372802</v>
      </c>
      <c r="G55">
        <f t="shared" si="1"/>
        <v>9.7386784801697814</v>
      </c>
      <c r="I55">
        <v>10062125</v>
      </c>
      <c r="J55">
        <v>37.958829078323809</v>
      </c>
      <c r="K55">
        <f t="shared" si="2"/>
        <v>0.54788578221469209</v>
      </c>
      <c r="M55">
        <v>10062125</v>
      </c>
      <c r="N55">
        <v>55.548203604142167</v>
      </c>
      <c r="O55">
        <f t="shared" si="3"/>
        <v>1.1634143843713716</v>
      </c>
      <c r="Q55">
        <v>10062125</v>
      </c>
      <c r="R55">
        <v>45.535644584807933</v>
      </c>
      <c r="S55">
        <f t="shared" si="4"/>
        <v>1.3950185569700508</v>
      </c>
    </row>
    <row r="56" spans="1:19" x14ac:dyDescent="0.25">
      <c r="A56">
        <v>10064690</v>
      </c>
      <c r="B56">
        <v>40.219280725321752</v>
      </c>
      <c r="C56">
        <f t="shared" si="0"/>
        <v>10.200587991450725</v>
      </c>
      <c r="E56">
        <v>10064690</v>
      </c>
      <c r="F56">
        <v>47.239322318582467</v>
      </c>
      <c r="G56">
        <f t="shared" si="1"/>
        <v>2.4768486603794457</v>
      </c>
      <c r="I56">
        <v>10064690</v>
      </c>
      <c r="J56">
        <v>24.494198670053091</v>
      </c>
      <c r="K56">
        <f t="shared" si="2"/>
        <v>14.01251619048541</v>
      </c>
      <c r="M56">
        <v>10064690</v>
      </c>
      <c r="N56">
        <v>47.661427619515877</v>
      </c>
      <c r="O56">
        <f t="shared" si="3"/>
        <v>6.7233616002549184</v>
      </c>
      <c r="Q56">
        <v>10064690</v>
      </c>
      <c r="R56">
        <v>54.004923025103039</v>
      </c>
      <c r="S56">
        <f t="shared" si="4"/>
        <v>9.8642969972651571</v>
      </c>
    </row>
    <row r="57" spans="1:19" x14ac:dyDescent="0.25">
      <c r="A57">
        <v>10068449</v>
      </c>
      <c r="B57">
        <v>52.282829952789783</v>
      </c>
      <c r="C57">
        <f t="shared" si="0"/>
        <v>1.8629612360173056</v>
      </c>
      <c r="E57">
        <v>10068449</v>
      </c>
      <c r="F57">
        <v>42.199333780347771</v>
      </c>
      <c r="G57">
        <f t="shared" si="1"/>
        <v>2.5631398778552494</v>
      </c>
      <c r="I57">
        <v>10068449</v>
      </c>
      <c r="J57">
        <v>52.330369022175027</v>
      </c>
      <c r="K57">
        <f t="shared" si="2"/>
        <v>13.823654161636526</v>
      </c>
      <c r="M57">
        <v>10068449</v>
      </c>
      <c r="N57">
        <v>51.662453335126983</v>
      </c>
      <c r="O57">
        <f t="shared" si="3"/>
        <v>2.7223358846438117</v>
      </c>
      <c r="Q57">
        <v>10068449</v>
      </c>
      <c r="R57">
        <v>33.550279475107217</v>
      </c>
      <c r="S57">
        <f t="shared" si="4"/>
        <v>10.590346552730665</v>
      </c>
    </row>
    <row r="58" spans="1:19" x14ac:dyDescent="0.25">
      <c r="A58">
        <v>10072594</v>
      </c>
      <c r="B58">
        <v>50.645457641197751</v>
      </c>
      <c r="C58">
        <f t="shared" si="0"/>
        <v>0.22558892442527423</v>
      </c>
      <c r="E58">
        <v>10072594</v>
      </c>
      <c r="F58">
        <v>42.807948668882467</v>
      </c>
      <c r="G58">
        <f t="shared" si="1"/>
        <v>1.9545249893205536</v>
      </c>
      <c r="I58">
        <v>10072594</v>
      </c>
      <c r="J58">
        <v>27.139677491863988</v>
      </c>
      <c r="K58">
        <f t="shared" si="2"/>
        <v>11.367037368674513</v>
      </c>
      <c r="M58">
        <v>10072594</v>
      </c>
      <c r="N58">
        <v>50.512491248993577</v>
      </c>
      <c r="O58">
        <f t="shared" si="3"/>
        <v>3.8722979707772183</v>
      </c>
      <c r="Q58">
        <v>10072594</v>
      </c>
      <c r="R58">
        <v>36.749642815587038</v>
      </c>
      <c r="S58">
        <f t="shared" si="4"/>
        <v>7.3909832122508448</v>
      </c>
    </row>
    <row r="59" spans="1:19" x14ac:dyDescent="0.25">
      <c r="A59">
        <v>10072947</v>
      </c>
      <c r="B59">
        <v>39.726645705859752</v>
      </c>
      <c r="C59">
        <f t="shared" si="0"/>
        <v>10.693223010912725</v>
      </c>
      <c r="E59">
        <v>10072947</v>
      </c>
      <c r="F59">
        <v>33.192844371952731</v>
      </c>
      <c r="G59">
        <f t="shared" si="1"/>
        <v>11.56962928625029</v>
      </c>
      <c r="I59">
        <v>10072947</v>
      </c>
      <c r="J59">
        <v>29.473567110492471</v>
      </c>
      <c r="K59">
        <f t="shared" si="2"/>
        <v>9.0331477500460302</v>
      </c>
      <c r="M59">
        <v>10072947</v>
      </c>
      <c r="N59">
        <v>45.707380727990952</v>
      </c>
      <c r="O59">
        <f t="shared" si="3"/>
        <v>8.6774084917798433</v>
      </c>
      <c r="Q59">
        <v>10072947</v>
      </c>
      <c r="R59">
        <v>39.012398801041229</v>
      </c>
      <c r="S59">
        <f t="shared" si="4"/>
        <v>5.1282272267966533</v>
      </c>
    </row>
    <row r="60" spans="1:19" x14ac:dyDescent="0.25">
      <c r="A60">
        <v>10073889</v>
      </c>
      <c r="B60">
        <v>37.592084482094009</v>
      </c>
      <c r="C60">
        <f t="shared" si="0"/>
        <v>12.827784234678468</v>
      </c>
      <c r="E60">
        <v>10074145</v>
      </c>
      <c r="F60">
        <v>112.29568917838439</v>
      </c>
      <c r="G60">
        <f t="shared" si="1"/>
        <v>67.533215520181372</v>
      </c>
      <c r="I60">
        <v>10073494</v>
      </c>
      <c r="J60">
        <v>22.248803424616</v>
      </c>
      <c r="K60">
        <f t="shared" si="2"/>
        <v>16.257911435922502</v>
      </c>
      <c r="M60">
        <v>10073889</v>
      </c>
      <c r="N60">
        <v>55.633053677518447</v>
      </c>
      <c r="O60">
        <f t="shared" si="3"/>
        <v>1.248264457747652</v>
      </c>
      <c r="Q60">
        <v>10073494</v>
      </c>
      <c r="R60">
        <v>23.225137526873581</v>
      </c>
      <c r="S60">
        <f t="shared" si="4"/>
        <v>20.915488500964301</v>
      </c>
    </row>
    <row r="61" spans="1:19" x14ac:dyDescent="0.25">
      <c r="A61">
        <v>10074145</v>
      </c>
      <c r="B61">
        <v>116.429554879983</v>
      </c>
      <c r="C61">
        <f t="shared" si="0"/>
        <v>66.009686163210517</v>
      </c>
      <c r="E61">
        <v>10076349</v>
      </c>
      <c r="F61">
        <v>22.332122929403141</v>
      </c>
      <c r="G61">
        <f t="shared" si="1"/>
        <v>22.43035072879988</v>
      </c>
      <c r="I61">
        <v>10073889</v>
      </c>
      <c r="J61">
        <v>35.434524084021938</v>
      </c>
      <c r="K61">
        <f t="shared" si="2"/>
        <v>3.0721907765165639</v>
      </c>
      <c r="M61">
        <v>10074145</v>
      </c>
      <c r="N61">
        <v>161.32818183571251</v>
      </c>
      <c r="O61">
        <f t="shared" si="3"/>
        <v>106.94339261594172</v>
      </c>
      <c r="Q61">
        <v>10073889</v>
      </c>
      <c r="R61">
        <v>31.97212982132627</v>
      </c>
      <c r="S61">
        <f t="shared" si="4"/>
        <v>12.168496206511612</v>
      </c>
    </row>
    <row r="62" spans="1:19" x14ac:dyDescent="0.25">
      <c r="A62">
        <v>10076349</v>
      </c>
      <c r="B62">
        <v>42.4413626359188</v>
      </c>
      <c r="C62">
        <f t="shared" si="0"/>
        <v>7.978506080853677</v>
      </c>
      <c r="E62">
        <v>10078132</v>
      </c>
      <c r="F62">
        <v>50.1056341902257</v>
      </c>
      <c r="G62">
        <f t="shared" si="1"/>
        <v>5.3431605320226794</v>
      </c>
      <c r="I62">
        <v>10074145</v>
      </c>
      <c r="J62">
        <v>135.31051423773121</v>
      </c>
      <c r="K62">
        <f t="shared" si="2"/>
        <v>96.803799377192718</v>
      </c>
      <c r="M62">
        <v>10076349</v>
      </c>
      <c r="N62">
        <v>30.07402223525045</v>
      </c>
      <c r="O62">
        <f t="shared" si="3"/>
        <v>24.310766984520345</v>
      </c>
      <c r="Q62">
        <v>10074145</v>
      </c>
      <c r="R62">
        <v>44.856314305424569</v>
      </c>
      <c r="S62">
        <f t="shared" si="4"/>
        <v>0.71568827758668618</v>
      </c>
    </row>
    <row r="63" spans="1:19" x14ac:dyDescent="0.25">
      <c r="A63">
        <v>10078132</v>
      </c>
      <c r="B63">
        <v>50.743800994464422</v>
      </c>
      <c r="C63">
        <f t="shared" si="0"/>
        <v>0.3239322776919451</v>
      </c>
      <c r="E63">
        <v>10079995</v>
      </c>
      <c r="F63">
        <v>53.625244918392617</v>
      </c>
      <c r="G63">
        <f t="shared" si="1"/>
        <v>8.8627712601895965</v>
      </c>
      <c r="I63">
        <v>10076349</v>
      </c>
      <c r="J63">
        <v>30.55096762807041</v>
      </c>
      <c r="K63">
        <f t="shared" si="2"/>
        <v>7.9557472324680916</v>
      </c>
      <c r="M63">
        <v>10078132</v>
      </c>
      <c r="N63">
        <v>34.985966861486162</v>
      </c>
      <c r="O63">
        <f t="shared" si="3"/>
        <v>19.398822358284633</v>
      </c>
      <c r="Q63">
        <v>10076349</v>
      </c>
      <c r="R63">
        <v>36.200312623362187</v>
      </c>
      <c r="S63">
        <f t="shared" si="4"/>
        <v>7.9403134044756953</v>
      </c>
    </row>
    <row r="64" spans="1:19" x14ac:dyDescent="0.25">
      <c r="A64">
        <v>10079995</v>
      </c>
      <c r="B64">
        <v>56.324005072580448</v>
      </c>
      <c r="C64">
        <f t="shared" si="0"/>
        <v>5.9041363558079709</v>
      </c>
      <c r="E64">
        <v>10080481</v>
      </c>
      <c r="F64">
        <v>30.597354235063499</v>
      </c>
      <c r="G64">
        <f t="shared" si="1"/>
        <v>14.165119423139522</v>
      </c>
      <c r="I64">
        <v>10078132</v>
      </c>
      <c r="J64">
        <v>31.33381756568318</v>
      </c>
      <c r="K64">
        <f t="shared" si="2"/>
        <v>7.1728972948553213</v>
      </c>
      <c r="M64">
        <v>10079995</v>
      </c>
      <c r="N64">
        <v>54.089898978943161</v>
      </c>
      <c r="O64">
        <f t="shared" si="3"/>
        <v>0.29489024082763393</v>
      </c>
      <c r="Q64">
        <v>10078132</v>
      </c>
      <c r="R64">
        <v>40.019422049008341</v>
      </c>
      <c r="S64">
        <f t="shared" si="4"/>
        <v>4.1212039788295414</v>
      </c>
    </row>
    <row r="65" spans="1:19" x14ac:dyDescent="0.25">
      <c r="A65">
        <v>10080481</v>
      </c>
      <c r="B65">
        <v>25.102402134086109</v>
      </c>
      <c r="C65">
        <f t="shared" si="0"/>
        <v>25.317466582686368</v>
      </c>
      <c r="E65">
        <v>10080492</v>
      </c>
      <c r="F65">
        <v>61.942440956861716</v>
      </c>
      <c r="G65">
        <f t="shared" si="1"/>
        <v>17.179967298658696</v>
      </c>
      <c r="I65">
        <v>10079995</v>
      </c>
      <c r="J65">
        <v>42.618058879297941</v>
      </c>
      <c r="K65">
        <f t="shared" si="2"/>
        <v>4.1113440187594392</v>
      </c>
      <c r="M65">
        <v>10080481</v>
      </c>
      <c r="N65">
        <v>53.738086507027433</v>
      </c>
      <c r="O65">
        <f t="shared" si="3"/>
        <v>0.64670271274336244</v>
      </c>
      <c r="Q65">
        <v>10079995</v>
      </c>
      <c r="R65">
        <v>25.83620714563267</v>
      </c>
      <c r="S65">
        <f t="shared" si="4"/>
        <v>18.304418882205212</v>
      </c>
    </row>
    <row r="66" spans="1:19" x14ac:dyDescent="0.25">
      <c r="A66">
        <v>10080492</v>
      </c>
      <c r="B66">
        <v>41.7077946984571</v>
      </c>
      <c r="C66">
        <f t="shared" si="0"/>
        <v>8.7120740183153771</v>
      </c>
      <c r="E66">
        <v>10080526</v>
      </c>
      <c r="F66">
        <v>17.327094324329089</v>
      </c>
      <c r="G66">
        <f t="shared" si="1"/>
        <v>27.435379333873932</v>
      </c>
      <c r="I66">
        <v>10080481</v>
      </c>
      <c r="J66">
        <v>31.42914363857048</v>
      </c>
      <c r="K66">
        <f t="shared" si="2"/>
        <v>7.0775712219680216</v>
      </c>
      <c r="M66">
        <v>10080492</v>
      </c>
      <c r="N66">
        <v>81.959432855473437</v>
      </c>
      <c r="O66">
        <f t="shared" si="3"/>
        <v>27.574643635702643</v>
      </c>
      <c r="Q66">
        <v>10080481</v>
      </c>
      <c r="R66">
        <v>40.257092819678782</v>
      </c>
      <c r="S66">
        <f t="shared" si="4"/>
        <v>3.8835332081591005</v>
      </c>
    </row>
    <row r="67" spans="1:19" x14ac:dyDescent="0.25">
      <c r="A67">
        <v>10080526</v>
      </c>
      <c r="B67">
        <v>12.011158124017321</v>
      </c>
      <c r="C67">
        <f t="shared" si="0"/>
        <v>38.408710592755156</v>
      </c>
      <c r="E67">
        <v>10080596</v>
      </c>
      <c r="F67">
        <v>20.397181381322241</v>
      </c>
      <c r="G67">
        <f t="shared" si="1"/>
        <v>24.36529227688078</v>
      </c>
      <c r="I67">
        <v>10080492</v>
      </c>
      <c r="J67">
        <v>46.107264141781577</v>
      </c>
      <c r="K67">
        <f t="shared" si="2"/>
        <v>7.6005492812430759</v>
      </c>
      <c r="M67">
        <v>10080596</v>
      </c>
      <c r="N67">
        <v>52.49933098184372</v>
      </c>
      <c r="O67">
        <f t="shared" si="3"/>
        <v>1.8854582379270752</v>
      </c>
      <c r="Q67">
        <v>10080492</v>
      </c>
      <c r="R67">
        <v>90.15734417292947</v>
      </c>
      <c r="S67">
        <f t="shared" si="4"/>
        <v>46.016718145091588</v>
      </c>
    </row>
    <row r="68" spans="1:19" x14ac:dyDescent="0.25">
      <c r="A68" s="10" t="s">
        <v>35</v>
      </c>
      <c r="B68" s="10">
        <f>AVERAGE(B31:B67)</f>
        <v>50.419868716772477</v>
      </c>
      <c r="E68" s="10" t="s">
        <v>35</v>
      </c>
      <c r="F68" s="10">
        <f>AVERAGE(F31:F67)</f>
        <v>44.762473658203021</v>
      </c>
      <c r="I68">
        <v>10080596</v>
      </c>
      <c r="J68">
        <v>30.825674262907039</v>
      </c>
      <c r="K68">
        <f t="shared" si="2"/>
        <v>7.681040597631462</v>
      </c>
      <c r="M68">
        <v>10080624</v>
      </c>
      <c r="N68">
        <v>18.381076778735071</v>
      </c>
      <c r="O68">
        <f t="shared" si="3"/>
        <v>36.003712441035724</v>
      </c>
      <c r="Q68">
        <v>10080596</v>
      </c>
      <c r="R68">
        <v>42.707402943243352</v>
      </c>
      <c r="S68">
        <f t="shared" si="4"/>
        <v>1.4332230845945304</v>
      </c>
    </row>
    <row r="69" spans="1:19" x14ac:dyDescent="0.25">
      <c r="A69" s="10" t="s">
        <v>39</v>
      </c>
      <c r="B69" s="10">
        <f>STDEVA(B31:B67)</f>
        <v>17.822816814582147</v>
      </c>
      <c r="E69" s="10" t="s">
        <v>39</v>
      </c>
      <c r="F69" s="10">
        <f>STDEVA(F31:F67)</f>
        <v>17.519153591461041</v>
      </c>
      <c r="I69">
        <v>10080624</v>
      </c>
      <c r="J69">
        <v>13.99913941381805</v>
      </c>
      <c r="K69">
        <f t="shared" si="2"/>
        <v>24.507575446720452</v>
      </c>
      <c r="M69">
        <v>10080747</v>
      </c>
      <c r="N69">
        <v>22.637414960253398</v>
      </c>
      <c r="O69">
        <f t="shared" si="3"/>
        <v>31.747374259517397</v>
      </c>
      <c r="Q69">
        <v>10080747</v>
      </c>
      <c r="R69">
        <v>30.887688883088689</v>
      </c>
      <c r="S69">
        <f t="shared" si="4"/>
        <v>13.252937144749193</v>
      </c>
    </row>
    <row r="70" spans="1:19" x14ac:dyDescent="0.25">
      <c r="A70" s="10" t="s">
        <v>36</v>
      </c>
      <c r="B70" s="10">
        <f>SUM(C31:C67)/GETPIVOTDATA("Kurir",$A$2,"205_dt","2025-07-28 00:00:00.0")</f>
        <v>11.695119497762946</v>
      </c>
      <c r="E70" s="10" t="s">
        <v>36</v>
      </c>
      <c r="F70" s="10">
        <f>SUM(G31:G67)/GETPIVOTDATA("Kurir",$A$2,"205_dt","2025-07-29 00:00:00.0")</f>
        <v>12.399457070380604</v>
      </c>
      <c r="I70">
        <v>10080747</v>
      </c>
      <c r="J70">
        <v>13.61120888833336</v>
      </c>
      <c r="K70">
        <f t="shared" si="2"/>
        <v>24.895505972205143</v>
      </c>
      <c r="M70" s="10" t="s">
        <v>35</v>
      </c>
      <c r="N70" s="10">
        <f>AVERAGE(N31:N69)</f>
        <v>54.384789219770795</v>
      </c>
      <c r="Q70" s="10" t="s">
        <v>35</v>
      </c>
      <c r="R70" s="10">
        <f>AVERAGE(R31:R69)</f>
        <v>44.140626027837882</v>
      </c>
    </row>
    <row r="71" spans="1:19" x14ac:dyDescent="0.25">
      <c r="I71" s="10" t="s">
        <v>35</v>
      </c>
      <c r="J71" s="10">
        <f>AVERAGE(J31:J70)</f>
        <v>38.506714860538501</v>
      </c>
      <c r="M71" s="10" t="s">
        <v>39</v>
      </c>
      <c r="N71" s="10">
        <f>STDEVA(N31:N69)</f>
        <v>23.752670822733318</v>
      </c>
      <c r="Q71" s="10" t="s">
        <v>39</v>
      </c>
      <c r="R71" s="10">
        <f>STDEVA(R31:R69)</f>
        <v>14.895351172721691</v>
      </c>
    </row>
    <row r="72" spans="1:19" x14ac:dyDescent="0.25">
      <c r="I72" s="10" t="s">
        <v>39</v>
      </c>
      <c r="J72" s="10">
        <f>STDEVA(J31:J70)</f>
        <v>19.873733763322655</v>
      </c>
      <c r="M72" s="10" t="s">
        <v>36</v>
      </c>
      <c r="N72" s="10">
        <f>SUM(O31:O69)/GETPIVOTDATA("Kurir",$A$2,"205_dt","2025-08-07 00:00:00.0")</f>
        <v>14.589962852248831</v>
      </c>
      <c r="Q72" s="10" t="s">
        <v>36</v>
      </c>
      <c r="R72" s="10">
        <f>SUM(S31:S69)/GETPIVOTDATA("Kurir",$A$2,"205_dt","2025-08-20 00:00:00.0")</f>
        <v>10.341184432904498</v>
      </c>
    </row>
    <row r="73" spans="1:19" x14ac:dyDescent="0.25">
      <c r="I73" s="10" t="s">
        <v>36</v>
      </c>
      <c r="J73" s="10">
        <f>SUM(K31:K70)/GETPIVOTDATA("Kurir",$A$2,"205_dt","2025-08-06 00:00:00.0")</f>
        <v>11.454700202146171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Pivot Tanggal Paket</vt:lpstr>
      <vt:lpstr>jarak_kurir_harian</vt:lpstr>
      <vt:lpstr>Pivot NIK</vt:lpstr>
      <vt:lpstr>Pivot Tanggal Jarak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2026-01-24T08:23:38Z</dcterms:created>
  <dcterms:modified xsi:type="dcterms:W3CDTF">2026-04-29T19:32:20Z</dcterms:modified>
</cp:coreProperties>
</file>